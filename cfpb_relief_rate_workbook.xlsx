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y issue and group" sheetId="2" state="visible" r:id="rId4"/>
    <sheet name="Issue comparison" sheetId="3" state="visible" r:id="rId5"/>
    <sheet name="Card issuer focus" sheetId="4" state="visible" r:id="rId6"/>
    <sheet name="Decision 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<sst xmlns="http://schemas.openxmlformats.org/spreadsheetml/2006/main" count="202" uniqueCount="116">
  <si>
    <t xml:space="preserve">CFPB credit card complaints: relief rate, bureaus vs card issuers</t>
  </si>
  <si>
    <t xml:space="preserve">Complaints received 2023-08-17 to 2024-12-31. Relief rate = complaints closed with monetary or non-monetary relief divided by complaints with an outcome (the 29 'Untimely response' rows are excluded).</t>
  </si>
  <si>
    <t xml:space="preserve">Relief rate by company type</t>
  </si>
  <si>
    <t xml:space="preserve">Group</t>
  </si>
  <si>
    <t xml:space="preserve">Complaints with an outcome</t>
  </si>
  <si>
    <t xml:space="preserve">Relief cases</t>
  </si>
  <si>
    <t xml:space="preserve">Relief rate</t>
  </si>
  <si>
    <t xml:space="preserve">Bureau</t>
  </si>
  <si>
    <t xml:space="preserve">Card issuer</t>
  </si>
  <si>
    <t xml:space="preserve">Combined</t>
  </si>
  <si>
    <t xml:space="preserve">How all complaints ended</t>
  </si>
  <si>
    <t xml:space="preserve">Outcome</t>
  </si>
  <si>
    <t xml:space="preserve">Complaints</t>
  </si>
  <si>
    <t xml:space="preserve">Share</t>
  </si>
  <si>
    <t xml:space="preserve">Closed with explanation</t>
  </si>
  <si>
    <t xml:space="preserve">Closed with non-monetary relief</t>
  </si>
  <si>
    <t xml:space="preserve">Closed with monetary relief</t>
  </si>
  <si>
    <t xml:space="preserve">Untimely response</t>
  </si>
  <si>
    <t xml:space="preserve">Total</t>
  </si>
  <si>
    <t xml:space="preserve">Rows imported into complaints_raw (input)</t>
  </si>
  <si>
    <t xml:space="preserve">Check</t>
  </si>
  <si>
    <t xml:space="preserve">Timely response flag</t>
  </si>
  <si>
    <t xml:space="preserve">Flag</t>
  </si>
  <si>
    <t xml:space="preserve">Yes</t>
  </si>
  <si>
    <t xml:space="preserve">No</t>
  </si>
  <si>
    <t xml:space="preserve">What the split shows</t>
  </si>
  <si>
    <t xml:space="preserve">Cautions</t>
  </si>
  <si>
    <t xml:space="preserve">1. Compare issues within a group, not across groups. For a bureau, correcting an item on a credit report counts as relief, so the two groups' rates do not measure the same thing.</t>
  </si>
  <si>
    <t xml:space="preserve">2. Ignore relief rates on small counts (under about 100 complaints). A few cases swing a percentage too much to trust.</t>
  </si>
  <si>
    <t xml:space="preserve">3. Complaints are not a representative sample and there are no customer counts, so high volume does not mean a company performs badly.</t>
  </si>
  <si>
    <t xml:space="preserve">4. US credit card complaints only. 'Closed with explanation' does not mean the company was right. This project demonstrates a method.</t>
  </si>
  <si>
    <t xml:space="preserve">Relief rate by issue and company type (SQL results)</t>
  </si>
  <si>
    <t xml:space="preserve">Source: SQL query on dbo.complaints_labeled, run by the analyst. 'Untimely response' rows (29) are excluded. Blue = values copied from the SQL output. Relief rate is a formula. One issue name was cut off in the SQL screenshot ('Credit monitoring or identity theft protection servi...') and was completed from the CFPB category name; verify against your results.</t>
  </si>
  <si>
    <t xml:space="preserve">Company type</t>
  </si>
  <si>
    <t xml:space="preserve">Issue</t>
  </si>
  <si>
    <t xml:space="preserve">Problem with a company's investigation into an existing problem</t>
  </si>
  <si>
    <t xml:space="preserve">Incorrect information on your report</t>
  </si>
  <si>
    <t xml:space="preserve">Getting a credit card</t>
  </si>
  <si>
    <t xml:space="preserve">Other features, terms, or problems</t>
  </si>
  <si>
    <t xml:space="preserve">Advertising and marketing, including promotional offers</t>
  </si>
  <si>
    <t xml:space="preserve">Problem with a purchase shown on your statement</t>
  </si>
  <si>
    <t xml:space="preserve">Improper use of your report</t>
  </si>
  <si>
    <t xml:space="preserve">Closing your account</t>
  </si>
  <si>
    <t xml:space="preserve">Problem when making payments</t>
  </si>
  <si>
    <t xml:space="preserve">Fees or interest</t>
  </si>
  <si>
    <t xml:space="preserve">Struggling to pay your bill</t>
  </si>
  <si>
    <t xml:space="preserve">Trouble using your card</t>
  </si>
  <si>
    <t xml:space="preserve">Credit monitoring or identity theft protection services</t>
  </si>
  <si>
    <t xml:space="preserve">Problem with fraud alerts or security freezes</t>
  </si>
  <si>
    <t xml:space="preserve">Unable to get your credit report or credit score</t>
  </si>
  <si>
    <t xml:space="preserve">Relief rate by issue: bureaus vs card issuers vs combined</t>
  </si>
  <si>
    <t xml:space="preserve">All figures are formulas on the 'By issue and group' sheet. Gap = bureau rate minus card issuer rate, in percentage points. Change the yellow cell to adjust which issues are flagged as small counts.</t>
  </si>
  <si>
    <t xml:space="preserve">Small-count threshold (complaints)</t>
  </si>
  <si>
    <t xml:space="preserve">Bureau complaints</t>
  </si>
  <si>
    <t xml:space="preserve">Bureau relief rate</t>
  </si>
  <si>
    <t xml:space="preserve">Card issuer complaints</t>
  </si>
  <si>
    <t xml:space="preserve">Card issuer relief rate</t>
  </si>
  <si>
    <t xml:space="preserve">Combined complaints</t>
  </si>
  <si>
    <t xml:space="preserve">Combined relief rate</t>
  </si>
  <si>
    <t xml:space="preserve">Gap (bureau minus issuer, pts)</t>
  </si>
  <si>
    <t xml:space="preserve">Small-count flag</t>
  </si>
  <si>
    <t xml:space="preserve">Rows with a 'Low count' flag have fewer complaints than the threshold in at least one group; read their rates with caution.</t>
  </si>
  <si>
    <t xml:space="preserve">Card issuers: which issues have high volume and a below-average relief rate?</t>
  </si>
  <si>
    <t xml:space="preserve">The 5% cutoff in the yellow cell was chosen by the analyst (see the Decision log). Change it to test other cutoffs. 'Priority' is a screen for where to look first, not a finding on its own.</t>
  </si>
  <si>
    <t xml:space="preserve">High-volume cutoff (share of card issuer complaints)</t>
  </si>
  <si>
    <t xml:space="preserve">Card issuer relief rate (average)</t>
  </si>
  <si>
    <t xml:space="preserve">Card issuer complaints with an outcome</t>
  </si>
  <si>
    <t xml:space="preserve">Share of card issuer complaints</t>
  </si>
  <si>
    <t xml:space="preserve">Gap vs card issuer average (pts)</t>
  </si>
  <si>
    <t xml:space="preserve">High volume?</t>
  </si>
  <si>
    <t xml:space="preserve">Below average?</t>
  </si>
  <si>
    <t xml:space="preserve">Priority</t>
  </si>
  <si>
    <t xml:space="preserve">Decision log</t>
  </si>
  <si>
    <t xml:space="preserve">Each decision or check made so far, the result, and why it matters. Items marked 'Analyst' rest on the analyst's judgement or domain knowledge.</t>
  </si>
  <si>
    <t xml:space="preserve">#</t>
  </si>
  <si>
    <t xml:space="preserve">Decision or check</t>
  </si>
  <si>
    <t xml:space="preserve">Result</t>
  </si>
  <si>
    <t xml:space="preserve">Why it matters</t>
  </si>
  <si>
    <t xml:space="preserve">Dataset and slice</t>
  </si>
  <si>
    <t xml:space="preserve">CFPB Consumer Complaint Database, credit card product, 97,861 rows imported into SQL Server table complaints_raw. Date received runs from 2023-08-17 to 2024-12-31.</t>
  </si>
  <si>
    <t xml:space="preserve">Public data keeps the findings real. The filtered export stays under the site's 100,000-row cap.</t>
  </si>
  <si>
    <t xml:space="preserve">Raw table kept untouched</t>
  </si>
  <si>
    <t xml:space="preserve">complaints_raw is an exact copy of the export. Dates left as text; labels added only through a view.</t>
  </si>
  <si>
    <t xml:space="preserve">The original can always be traced back.</t>
  </si>
  <si>
    <t xml:space="preserve">Complaint_ID uniqueness</t>
  </si>
  <si>
    <t xml:space="preserve">A HAVING COUNT(*) &gt; 1 query returned 0 rows, so every Complaint_ID is unique.</t>
  </si>
  <si>
    <t xml:space="preserve">No duplicate complaints can inflate counts.</t>
  </si>
  <si>
    <t xml:space="preserve">97,694 Yes and 167 No, so 99.83% of responses were timely.</t>
  </si>
  <si>
    <t xml:space="preserve">Ruled out response speed, so the analysis moved to outcomes. The volume-vs-timeliness hypothesis was rejected.</t>
  </si>
  <si>
    <t xml:space="preserve">Missing values</t>
  </si>
  <si>
    <t xml:space="preserve">'None' is stored as text, not NULL (Tags: 0 NULLs, 83,728 'None').</t>
  </si>
  <si>
    <t xml:space="preserve">IS NULL checks would miss these placeholders.</t>
  </si>
  <si>
    <t xml:space="preserve">Relief definition</t>
  </si>
  <si>
    <t xml:space="preserve">Relief = Closed with monetary relief + Closed with non-monetary relief. Denominator excludes the 29 'Untimely response' rows.</t>
  </si>
  <si>
    <t xml:space="preserve">A fixed, visible definition. 'Closed with explanation' does not mean the company was right.</t>
  </si>
  <si>
    <t xml:space="preserve">Bureau vs card issuer split (Analyst)</t>
  </si>
  <si>
    <t xml:space="preserve">Equifax, Experian and TransUnion are labelled 'Bureau'. Every other company is 'Card issuer'. Implemented as the view dbo.complaints_labeled.</t>
  </si>
  <si>
    <t xml:space="preserve">Bureaus and issuers handle different kinds of problems. Combined, the bureaus hid the issuers' results. Reconciled: 27,110 + 70,751 = 97,861.</t>
  </si>
  <si>
    <t xml:space="preserve">CLGF Holdco 1, LLC (Analyst)</t>
  </si>
  <si>
    <t xml:space="preserve">Classified as a card issuer (it is both an issuer and a lender), from the analyst's domain knowledge.</t>
  </si>
  <si>
    <t xml:space="preserve">A classification that rests on judgement, not on a column in the data.</t>
  </si>
  <si>
    <t xml:space="preserve">Untimely response rows</t>
  </si>
  <si>
    <t xml:space="preserve">All 29 'Untimely response' rows are card issuer rows (70,751 minus 70,722 outcomes; bureau total unchanged at 27,110).</t>
  </si>
  <si>
    <t xml:space="preserve">Explains why the card issuer count drops by 29 in the relief-rate tables.</t>
  </si>
  <si>
    <t xml:space="preserve">Baseline relief rates</t>
  </si>
  <si>
    <t xml:space="preserve">Combined 38.8%. Bureaus 55.9%. Card issuers 32.3%.</t>
  </si>
  <si>
    <t xml:space="preserve">The split changed the story: the combined figure was pulled up by the bureaus.</t>
  </si>
  <si>
    <t xml:space="preserve">High-volume cutoff (Analyst)</t>
  </si>
  <si>
    <t xml:space="preserve">5% of card issuer complaints (about 1 in 20). Reason: every customer's issue matters equally, but with limited time a team prioritises issues that recur often and could affect the business. Check: any cutoff from about 4.9% to 7.5% flags the same four issues.</t>
  </si>
  <si>
    <t xml:space="preserve">Makes the 'priority' screen the analyst's own decision and shows it is not fragile. The data measures recurrence and relief rate, not business impact.</t>
  </si>
  <si>
    <t xml:space="preserve">What 'relief' means</t>
  </si>
  <si>
    <t xml:space="preserve">Relief = the company reported giving the customer money (monetary relief) or a fix (non-monetary relief). It does not show that the issue was resolved or that the customer was satisfied. The company chooses the category.</t>
  </si>
  <si>
    <t xml:space="preserve">Use the term 'relief rate', not 'resolution rate'. The consumer-disputed field, which came closest to satisfaction, stopped being collected in 2017.</t>
  </si>
  <si>
    <t xml:space="preserve">Limitations</t>
  </si>
  <si>
    <t xml:space="preserve">Complaints are not a representative sample. No customer counts, so volume is not performance. US data. Only the top 30 company names were reviewed for classification; the other 486 were not checked individually.</t>
  </si>
  <si>
    <t xml:space="preserve">Findings describe where complaints concentrate and how they end, not which companies are good or bad.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</si>
</sst>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0%"/>
    <numFmt numFmtId="168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6EFCE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2"/>
    <col collapsed="false" customWidth="true" hidden="false" outlineLevel="0" max="4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/>
      <c r="C4" s="4"/>
      <c r="D4" s="4"/>
    </row>
    <row r="5" customFormat="false" ht="31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false" outlineLevel="0" collapsed="false">
      <c r="A6" s="6" t="s">
        <v>7</v>
      </c>
      <c r="B6" s="7" t="n">
        <f aca="false">SUMIFS('By issue and group'!$C$5:$C$34,'By issue and group'!$A$5:$A$34,"Bureau")</f>
        <v>27110</v>
      </c>
      <c r="C6" s="7" t="n">
        <f aca="false">SUMIFS('By issue and group'!$D$5:$D$34,'By issue and group'!$A$5:$A$34,"Bureau")</f>
        <v>15162</v>
      </c>
      <c r="D6" s="8" t="n">
        <f aca="false">IFERROR(C6/B6,"")</f>
        <v>0.559277019549982</v>
      </c>
    </row>
    <row r="7" customFormat="false" ht="15" hidden="false" customHeight="false" outlineLevel="0" collapsed="false">
      <c r="A7" s="6" t="s">
        <v>8</v>
      </c>
      <c r="B7" s="7" t="n">
        <f aca="false">SUMIFS('By issue and group'!$C$5:$C$34,'By issue and group'!$A$5:$A$34,"Card issuer")</f>
        <v>70722</v>
      </c>
      <c r="C7" s="7" t="n">
        <f aca="false">SUMIFS('By issue and group'!$D$5:$D$34,'By issue and group'!$A$5:$A$34,"Card issuer")</f>
        <v>22828</v>
      </c>
      <c r="D7" s="8" t="n">
        <f aca="false">IFERROR(C7/B7,"")</f>
        <v>0.322784989112299</v>
      </c>
    </row>
    <row r="8" customFormat="false" ht="15" hidden="false" customHeight="false" outlineLevel="0" collapsed="false">
      <c r="A8" s="9" t="s">
        <v>9</v>
      </c>
      <c r="B8" s="10" t="n">
        <f aca="false">B6+B7</f>
        <v>97832</v>
      </c>
      <c r="C8" s="10" t="n">
        <f aca="false">C6+C7</f>
        <v>37990</v>
      </c>
      <c r="D8" s="11" t="n">
        <f aca="false">IFERROR(C8/B8,"")</f>
        <v>0.38831875051108</v>
      </c>
    </row>
    <row r="10" customFormat="false" ht="15" hidden="false" customHeight="false" outlineLevel="0" collapsed="false">
      <c r="A10" s="3" t="s">
        <v>10</v>
      </c>
      <c r="B10" s="4"/>
      <c r="C10" s="4"/>
      <c r="D10" s="4"/>
    </row>
    <row r="11" customFormat="false" ht="31.5" hidden="false" customHeight="true" outlineLevel="0" collapsed="false">
      <c r="A11" s="5" t="s">
        <v>11</v>
      </c>
      <c r="B11" s="5" t="s">
        <v>12</v>
      </c>
      <c r="C11" s="5" t="s">
        <v>13</v>
      </c>
    </row>
    <row r="12" customFormat="false" ht="15" hidden="false" customHeight="false" outlineLevel="0" collapsed="false">
      <c r="A12" s="6" t="s">
        <v>14</v>
      </c>
      <c r="B12" s="12" t="n">
        <v>59842</v>
      </c>
      <c r="C12" s="8" t="n">
        <f aca="false">IFERROR(B12/$B$16,"")</f>
        <v>0.611499984672137</v>
      </c>
    </row>
    <row r="13" customFormat="false" ht="15" hidden="false" customHeight="false" outlineLevel="0" collapsed="false">
      <c r="A13" s="6" t="s">
        <v>15</v>
      </c>
      <c r="B13" s="12" t="n">
        <v>24893</v>
      </c>
      <c r="C13" s="8" t="n">
        <f aca="false">IFERROR(B13/$B$16,"")</f>
        <v>0.254370995595794</v>
      </c>
    </row>
    <row r="14" customFormat="false" ht="15" hidden="false" customHeight="false" outlineLevel="0" collapsed="false">
      <c r="A14" s="6" t="s">
        <v>16</v>
      </c>
      <c r="B14" s="12" t="n">
        <v>13097</v>
      </c>
      <c r="C14" s="8" t="n">
        <f aca="false">IFERROR(B14/$B$16,"")</f>
        <v>0.133832681047608</v>
      </c>
    </row>
    <row r="15" customFormat="false" ht="15" hidden="false" customHeight="false" outlineLevel="0" collapsed="false">
      <c r="A15" s="6" t="s">
        <v>17</v>
      </c>
      <c r="B15" s="12" t="n">
        <v>29</v>
      </c>
      <c r="C15" s="8" t="n">
        <f aca="false">IFERROR(B15/$B$16,"")</f>
        <v>0.000296338684460613</v>
      </c>
    </row>
    <row r="16" customFormat="false" ht="15" hidden="false" customHeight="false" outlineLevel="0" collapsed="false">
      <c r="A16" s="9" t="s">
        <v>18</v>
      </c>
      <c r="B16" s="10" t="n">
        <f aca="false">SUM(B12:B15)</f>
        <v>97861</v>
      </c>
      <c r="C16" s="11" t="n">
        <f aca="false">SUM(C12:C15)</f>
        <v>1</v>
      </c>
    </row>
    <row r="17" customFormat="false" ht="15" hidden="false" customHeight="false" outlineLevel="0" collapsed="false">
      <c r="A17" s="6" t="s">
        <v>19</v>
      </c>
      <c r="B17" s="12" t="n">
        <v>97861</v>
      </c>
    </row>
    <row r="18" customFormat="false" ht="15" hidden="false" customHeight="false" outlineLevel="0" collapsed="false">
      <c r="A18" s="6" t="s">
        <v>20</v>
      </c>
      <c r="B18" s="6" t="str">
        <f aca="false">IF(B16=B17,"OK: outcomes reconcile to rows imported","CHECK: totals differ")</f>
        <v>OK: outcomes reconcile to rows imported</v>
      </c>
      <c r="C18" s="6"/>
      <c r="D18" s="6"/>
    </row>
    <row r="20" customFormat="false" ht="15" hidden="false" customHeight="false" outlineLevel="0" collapsed="false">
      <c r="A20" s="3" t="s">
        <v>21</v>
      </c>
      <c r="B20" s="4"/>
      <c r="C20" s="4"/>
      <c r="D20" s="4"/>
    </row>
    <row r="21" customFormat="false" ht="31.5" hidden="false" customHeight="true" outlineLevel="0" collapsed="false">
      <c r="A21" s="5" t="s">
        <v>22</v>
      </c>
      <c r="B21" s="5" t="s">
        <v>12</v>
      </c>
      <c r="C21" s="5" t="s">
        <v>13</v>
      </c>
    </row>
    <row r="22" customFormat="false" ht="15" hidden="false" customHeight="false" outlineLevel="0" collapsed="false">
      <c r="A22" s="6" t="s">
        <v>23</v>
      </c>
      <c r="B22" s="12" t="n">
        <v>97694</v>
      </c>
      <c r="C22" s="13" t="n">
        <f aca="false">IFERROR(B22/$B$24,"")</f>
        <v>0.99829349792052</v>
      </c>
    </row>
    <row r="23" customFormat="false" ht="15" hidden="false" customHeight="false" outlineLevel="0" collapsed="false">
      <c r="A23" s="6" t="s">
        <v>24</v>
      </c>
      <c r="B23" s="12" t="n">
        <v>167</v>
      </c>
      <c r="C23" s="13" t="n">
        <f aca="false">IFERROR(B23/$B$24,"")</f>
        <v>0.00170650207948008</v>
      </c>
    </row>
    <row r="24" customFormat="false" ht="15" hidden="false" customHeight="false" outlineLevel="0" collapsed="false">
      <c r="A24" s="9" t="s">
        <v>18</v>
      </c>
      <c r="B24" s="10" t="n">
        <f aca="false">SUM(B22:B23)</f>
        <v>97861</v>
      </c>
      <c r="C24" s="14" t="n">
        <f aca="false">SUM(C22:C23)</f>
        <v>1</v>
      </c>
    </row>
    <row r="26" customFormat="false" ht="15" hidden="false" customHeight="false" outlineLevel="0" collapsed="false">
      <c r="A26" s="3" t="s">
        <v>25</v>
      </c>
      <c r="B26" s="4"/>
      <c r="C26" s="4"/>
      <c r="D26" s="4"/>
    </row>
    <row r="27" customFormat="false" ht="30" hidden="false" customHeight="true" outlineLevel="0" collapsed="false">
      <c r="A27" s="15" t="str">
        <f aca="false">"Bureaus: "&amp;TEXT(D6,"0.0%")&amp;" relief rate. Card issuers: "&amp;TEXT(D7,"0.0%")&amp;". Combined: "&amp;TEXT(D8,"0.0%")&amp;". The combined figure hides how different the two groups are."</f>
        <v>Bureaus: 55.9% relief rate. Card issuers: 32.3%. Combined: 38.8%. The combined figure hides how different the two groups are.</v>
      </c>
      <c r="B27" s="15"/>
      <c r="C27" s="15"/>
      <c r="D27" s="15"/>
    </row>
    <row r="28" customFormat="false" ht="30" hidden="false" customHeight="true" outlineLevel="0" collapsed="false">
      <c r="A28" s="15" t="str">
        <f aca="false">"Response speed is not the problem: "&amp;TEXT(C22,"0.00%")&amp;" of responses were timely, so the question moves to how complaints end."</f>
        <v>Response speed is not the problem: 99.83% of responses were timely, so the question moves to how complaints end.</v>
      </c>
      <c r="B28" s="15"/>
      <c r="C28" s="15"/>
      <c r="D28" s="15"/>
    </row>
    <row r="30" customFormat="false" ht="15" hidden="false" customHeight="false" outlineLevel="0" collapsed="false">
      <c r="A30" s="3" t="s">
        <v>26</v>
      </c>
      <c r="B30" s="4"/>
      <c r="C30" s="4"/>
      <c r="D30" s="4"/>
    </row>
    <row r="31" customFormat="false" ht="42" hidden="false" customHeight="true" outlineLevel="0" collapsed="false">
      <c r="A31" s="15" t="s">
        <v>27</v>
      </c>
      <c r="B31" s="15"/>
      <c r="C31" s="15"/>
      <c r="D31" s="15"/>
    </row>
    <row r="32" customFormat="false" ht="42" hidden="false" customHeight="true" outlineLevel="0" collapsed="false">
      <c r="A32" s="15" t="s">
        <v>28</v>
      </c>
      <c r="B32" s="15"/>
      <c r="C32" s="15"/>
      <c r="D32" s="15"/>
    </row>
    <row r="33" customFormat="false" ht="42" hidden="false" customHeight="true" outlineLevel="0" collapsed="false">
      <c r="A33" s="15" t="s">
        <v>29</v>
      </c>
      <c r="B33" s="15"/>
      <c r="C33" s="15"/>
      <c r="D33" s="15"/>
    </row>
    <row r="34" customFormat="false" ht="42" hidden="false" customHeight="true" outlineLevel="0" collapsed="false">
      <c r="A34" s="15" t="s">
        <v>30</v>
      </c>
      <c r="B34" s="15"/>
      <c r="C34" s="15"/>
      <c r="D34" s="15"/>
    </row>
  </sheetData>
  <mergeCells count="8">
    <mergeCell ref="A2:D2"/>
    <mergeCell ref="B18:D18"/>
    <mergeCell ref="A27:D27"/>
    <mergeCell ref="A28:D28"/>
    <mergeCell ref="A31:D31"/>
    <mergeCell ref="A32:D32"/>
    <mergeCell ref="A33:D33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2"/>
    <col collapsed="false" customWidth="true" hidden="false" outlineLevel="0" max="4" min="3" style="0" width="13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31</v>
      </c>
    </row>
    <row r="2" customFormat="false" ht="42" hidden="false" customHeight="true" outlineLevel="0" collapsed="false">
      <c r="A2" s="2" t="s">
        <v>32</v>
      </c>
      <c r="B2" s="2"/>
      <c r="C2" s="2"/>
      <c r="D2" s="2"/>
      <c r="E2" s="2"/>
    </row>
    <row r="4" customFormat="false" ht="31.5" hidden="false" customHeight="true" outlineLevel="0" collapsed="false">
      <c r="A4" s="5" t="s">
        <v>33</v>
      </c>
      <c r="B4" s="5" t="s">
        <v>34</v>
      </c>
      <c r="C4" s="5" t="s">
        <v>12</v>
      </c>
      <c r="D4" s="5" t="s">
        <v>5</v>
      </c>
      <c r="E4" s="5" t="s">
        <v>6</v>
      </c>
    </row>
    <row r="5" customFormat="false" ht="15" hidden="false" customHeight="false" outlineLevel="0" collapsed="false">
      <c r="A5" s="6" t="s">
        <v>7</v>
      </c>
      <c r="B5" s="6" t="s">
        <v>35</v>
      </c>
      <c r="C5" s="12" t="n">
        <v>12724</v>
      </c>
      <c r="D5" s="12" t="n">
        <v>7075</v>
      </c>
      <c r="E5" s="8" t="n">
        <f aca="false">IFERROR(D5/C5,"")</f>
        <v>0.55603583778686</v>
      </c>
    </row>
    <row r="6" customFormat="false" ht="15" hidden="false" customHeight="false" outlineLevel="0" collapsed="false">
      <c r="A6" s="6" t="s">
        <v>7</v>
      </c>
      <c r="B6" s="6" t="s">
        <v>36</v>
      </c>
      <c r="C6" s="12" t="n">
        <v>10887</v>
      </c>
      <c r="D6" s="12" t="n">
        <v>6166</v>
      </c>
      <c r="E6" s="8" t="n">
        <f aca="false">IFERROR(D6/C6,"")</f>
        <v>0.566363552861211</v>
      </c>
    </row>
    <row r="7" customFormat="false" ht="15" hidden="false" customHeight="false" outlineLevel="0" collapsed="false">
      <c r="A7" s="6" t="s">
        <v>7</v>
      </c>
      <c r="B7" s="6" t="s">
        <v>37</v>
      </c>
      <c r="C7" s="12" t="n">
        <v>2104</v>
      </c>
      <c r="D7" s="12" t="n">
        <v>1166</v>
      </c>
      <c r="E7" s="8" t="n">
        <f aca="false">IFERROR(D7/C7,"")</f>
        <v>0.554182509505704</v>
      </c>
    </row>
    <row r="8" customFormat="false" ht="15" hidden="false" customHeight="false" outlineLevel="0" collapsed="false">
      <c r="A8" s="6" t="s">
        <v>7</v>
      </c>
      <c r="B8" s="6" t="s">
        <v>38</v>
      </c>
      <c r="C8" s="12" t="n">
        <v>493</v>
      </c>
      <c r="D8" s="12" t="n">
        <v>272</v>
      </c>
      <c r="E8" s="8" t="n">
        <f aca="false">IFERROR(D8/C8,"")</f>
        <v>0.551724137931035</v>
      </c>
    </row>
    <row r="9" customFormat="false" ht="15" hidden="false" customHeight="false" outlineLevel="0" collapsed="false">
      <c r="A9" s="6" t="s">
        <v>7</v>
      </c>
      <c r="B9" s="6" t="s">
        <v>39</v>
      </c>
      <c r="C9" s="12" t="n">
        <v>417</v>
      </c>
      <c r="D9" s="12" t="n">
        <v>265</v>
      </c>
      <c r="E9" s="8" t="n">
        <f aca="false">IFERROR(D9/C9,"")</f>
        <v>0.635491606714628</v>
      </c>
    </row>
    <row r="10" customFormat="false" ht="15" hidden="false" customHeight="false" outlineLevel="0" collapsed="false">
      <c r="A10" s="6" t="s">
        <v>7</v>
      </c>
      <c r="B10" s="6" t="s">
        <v>40</v>
      </c>
      <c r="C10" s="12" t="n">
        <v>120</v>
      </c>
      <c r="D10" s="12" t="n">
        <v>55</v>
      </c>
      <c r="E10" s="8" t="n">
        <f aca="false">IFERROR(D10/C10,"")</f>
        <v>0.458333333333333</v>
      </c>
    </row>
    <row r="11" customFormat="false" ht="15" hidden="false" customHeight="false" outlineLevel="0" collapsed="false">
      <c r="A11" s="6" t="s">
        <v>7</v>
      </c>
      <c r="B11" s="6" t="s">
        <v>41</v>
      </c>
      <c r="C11" s="12" t="n">
        <v>113</v>
      </c>
      <c r="D11" s="12" t="n">
        <v>52</v>
      </c>
      <c r="E11" s="8" t="n">
        <f aca="false">IFERROR(D11/C11,"")</f>
        <v>0.460176991150442</v>
      </c>
    </row>
    <row r="12" customFormat="false" ht="15" hidden="false" customHeight="false" outlineLevel="0" collapsed="false">
      <c r="A12" s="6" t="s">
        <v>7</v>
      </c>
      <c r="B12" s="6" t="s">
        <v>42</v>
      </c>
      <c r="C12" s="12" t="n">
        <v>98</v>
      </c>
      <c r="D12" s="12" t="n">
        <v>48</v>
      </c>
      <c r="E12" s="8" t="n">
        <f aca="false">IFERROR(D12/C12,"")</f>
        <v>0.489795918367347</v>
      </c>
    </row>
    <row r="13" customFormat="false" ht="15" hidden="false" customHeight="false" outlineLevel="0" collapsed="false">
      <c r="A13" s="6" t="s">
        <v>7</v>
      </c>
      <c r="B13" s="6" t="s">
        <v>43</v>
      </c>
      <c r="C13" s="12" t="n">
        <v>61</v>
      </c>
      <c r="D13" s="12" t="n">
        <v>31</v>
      </c>
      <c r="E13" s="8" t="n">
        <f aca="false">IFERROR(D13/C13,"")</f>
        <v>0.508196721311475</v>
      </c>
    </row>
    <row r="14" customFormat="false" ht="15" hidden="false" customHeight="false" outlineLevel="0" collapsed="false">
      <c r="A14" s="6" t="s">
        <v>7</v>
      </c>
      <c r="B14" s="6" t="s">
        <v>44</v>
      </c>
      <c r="C14" s="12" t="n">
        <v>44</v>
      </c>
      <c r="D14" s="12" t="n">
        <v>18</v>
      </c>
      <c r="E14" s="8" t="n">
        <f aca="false">IFERROR(D14/C14,"")</f>
        <v>0.409090909090909</v>
      </c>
    </row>
    <row r="15" customFormat="false" ht="15" hidden="false" customHeight="false" outlineLevel="0" collapsed="false">
      <c r="A15" s="6" t="s">
        <v>7</v>
      </c>
      <c r="B15" s="6" t="s">
        <v>45</v>
      </c>
      <c r="C15" s="12" t="n">
        <v>15</v>
      </c>
      <c r="D15" s="12" t="n">
        <v>4</v>
      </c>
      <c r="E15" s="8" t="n">
        <f aca="false">IFERROR(D15/C15,"")</f>
        <v>0.266666666666667</v>
      </c>
    </row>
    <row r="16" customFormat="false" ht="15" hidden="false" customHeight="false" outlineLevel="0" collapsed="false">
      <c r="A16" s="6" t="s">
        <v>7</v>
      </c>
      <c r="B16" s="6" t="s">
        <v>46</v>
      </c>
      <c r="C16" s="12" t="n">
        <v>12</v>
      </c>
      <c r="D16" s="12" t="n">
        <v>1</v>
      </c>
      <c r="E16" s="8" t="n">
        <f aca="false">IFERROR(D16/C16,"")</f>
        <v>0.0833333333333333</v>
      </c>
    </row>
    <row r="17" customFormat="false" ht="15" hidden="false" customHeight="false" outlineLevel="0" collapsed="false">
      <c r="A17" s="6" t="s">
        <v>7</v>
      </c>
      <c r="B17" s="6" t="s">
        <v>47</v>
      </c>
      <c r="C17" s="12" t="n">
        <v>11</v>
      </c>
      <c r="D17" s="12" t="n">
        <v>6</v>
      </c>
      <c r="E17" s="8" t="n">
        <f aca="false">IFERROR(D17/C17,"")</f>
        <v>0.545454545454545</v>
      </c>
    </row>
    <row r="18" customFormat="false" ht="15" hidden="false" customHeight="false" outlineLevel="0" collapsed="false">
      <c r="A18" s="6" t="s">
        <v>7</v>
      </c>
      <c r="B18" s="6" t="s">
        <v>48</v>
      </c>
      <c r="C18" s="12" t="n">
        <v>7</v>
      </c>
      <c r="D18" s="12" t="n">
        <v>2</v>
      </c>
      <c r="E18" s="8" t="n">
        <f aca="false">IFERROR(D18/C18,"")</f>
        <v>0.285714285714286</v>
      </c>
    </row>
    <row r="19" customFormat="false" ht="15" hidden="false" customHeight="false" outlineLevel="0" collapsed="false">
      <c r="A19" s="6" t="s">
        <v>7</v>
      </c>
      <c r="B19" s="6" t="s">
        <v>49</v>
      </c>
      <c r="C19" s="12" t="n">
        <v>4</v>
      </c>
      <c r="D19" s="12" t="n">
        <v>1</v>
      </c>
      <c r="E19" s="8" t="n">
        <f aca="false">IFERROR(D19/C19,"")</f>
        <v>0.25</v>
      </c>
    </row>
    <row r="20" customFormat="false" ht="15" hidden="false" customHeight="false" outlineLevel="0" collapsed="false">
      <c r="A20" s="6" t="s">
        <v>8</v>
      </c>
      <c r="B20" s="6" t="s">
        <v>40</v>
      </c>
      <c r="C20" s="12" t="n">
        <v>19110</v>
      </c>
      <c r="D20" s="12" t="n">
        <v>7559</v>
      </c>
      <c r="E20" s="8" t="n">
        <f aca="false">IFERROR(D20/C20,"")</f>
        <v>0.395552066980638</v>
      </c>
    </row>
    <row r="21" customFormat="false" ht="15" hidden="false" customHeight="false" outlineLevel="0" collapsed="false">
      <c r="A21" s="6" t="s">
        <v>8</v>
      </c>
      <c r="B21" s="6" t="s">
        <v>37</v>
      </c>
      <c r="C21" s="12" t="n">
        <v>10724</v>
      </c>
      <c r="D21" s="12" t="n">
        <v>3338</v>
      </c>
      <c r="E21" s="8" t="n">
        <f aca="false">IFERROR(D21/C21,"")</f>
        <v>0.311264453562104</v>
      </c>
    </row>
    <row r="22" customFormat="false" ht="15" hidden="false" customHeight="false" outlineLevel="0" collapsed="false">
      <c r="A22" s="6" t="s">
        <v>8</v>
      </c>
      <c r="B22" s="6" t="s">
        <v>38</v>
      </c>
      <c r="C22" s="12" t="n">
        <v>9010</v>
      </c>
      <c r="D22" s="12" t="n">
        <v>2679</v>
      </c>
      <c r="E22" s="8" t="n">
        <f aca="false">IFERROR(D22/C22,"")</f>
        <v>0.297336293007769</v>
      </c>
    </row>
    <row r="23" customFormat="false" ht="15" hidden="false" customHeight="false" outlineLevel="0" collapsed="false">
      <c r="A23" s="6" t="s">
        <v>8</v>
      </c>
      <c r="B23" s="6" t="s">
        <v>44</v>
      </c>
      <c r="C23" s="12" t="n">
        <v>7926</v>
      </c>
      <c r="D23" s="12" t="n">
        <v>3273</v>
      </c>
      <c r="E23" s="8" t="n">
        <f aca="false">IFERROR(D23/C23,"")</f>
        <v>0.412944738834217</v>
      </c>
    </row>
    <row r="24" customFormat="false" ht="15" hidden="false" customHeight="false" outlineLevel="0" collapsed="false">
      <c r="A24" s="6" t="s">
        <v>8</v>
      </c>
      <c r="B24" s="6" t="s">
        <v>42</v>
      </c>
      <c r="C24" s="12" t="n">
        <v>5372</v>
      </c>
      <c r="D24" s="12" t="n">
        <v>1139</v>
      </c>
      <c r="E24" s="8" t="n">
        <f aca="false">IFERROR(D24/C24,"")</f>
        <v>0.212025316455696</v>
      </c>
    </row>
    <row r="25" customFormat="false" ht="15" hidden="false" customHeight="false" outlineLevel="0" collapsed="false">
      <c r="A25" s="6" t="s">
        <v>8</v>
      </c>
      <c r="B25" s="6" t="s">
        <v>43</v>
      </c>
      <c r="C25" s="12" t="n">
        <v>5349</v>
      </c>
      <c r="D25" s="12" t="n">
        <v>1663</v>
      </c>
      <c r="E25" s="8" t="n">
        <f aca="false">IFERROR(D25/C25,"")</f>
        <v>0.310899233501589</v>
      </c>
    </row>
    <row r="26" customFormat="false" ht="15" hidden="false" customHeight="false" outlineLevel="0" collapsed="false">
      <c r="A26" s="6" t="s">
        <v>8</v>
      </c>
      <c r="B26" s="6" t="s">
        <v>36</v>
      </c>
      <c r="C26" s="12" t="n">
        <v>3453</v>
      </c>
      <c r="D26" s="12" t="n">
        <v>842</v>
      </c>
      <c r="E26" s="8" t="n">
        <f aca="false">IFERROR(D26/C26,"")</f>
        <v>0.243845931074428</v>
      </c>
    </row>
    <row r="27" customFormat="false" ht="15" hidden="false" customHeight="false" outlineLevel="0" collapsed="false">
      <c r="A27" s="6" t="s">
        <v>8</v>
      </c>
      <c r="B27" s="6" t="s">
        <v>39</v>
      </c>
      <c r="C27" s="12" t="n">
        <v>3101</v>
      </c>
      <c r="D27" s="12" t="n">
        <v>850</v>
      </c>
      <c r="E27" s="8" t="n">
        <f aca="false">IFERROR(D27/C27,"")</f>
        <v>0.274105127378265</v>
      </c>
    </row>
    <row r="28" customFormat="false" ht="15" hidden="false" customHeight="false" outlineLevel="0" collapsed="false">
      <c r="A28" s="6" t="s">
        <v>8</v>
      </c>
      <c r="B28" s="6" t="s">
        <v>46</v>
      </c>
      <c r="C28" s="12" t="n">
        <v>2989</v>
      </c>
      <c r="D28" s="12" t="n">
        <v>535</v>
      </c>
      <c r="E28" s="8" t="n">
        <f aca="false">IFERROR(D28/C28,"")</f>
        <v>0.178989628638341</v>
      </c>
    </row>
    <row r="29" customFormat="false" ht="15" hidden="false" customHeight="false" outlineLevel="0" collapsed="false">
      <c r="A29" s="6" t="s">
        <v>8</v>
      </c>
      <c r="B29" s="6" t="s">
        <v>35</v>
      </c>
      <c r="C29" s="12" t="n">
        <v>1268</v>
      </c>
      <c r="D29" s="12" t="n">
        <v>319</v>
      </c>
      <c r="E29" s="8" t="n">
        <f aca="false">IFERROR(D29/C29,"")</f>
        <v>0.251577287066246</v>
      </c>
    </row>
    <row r="30" customFormat="false" ht="15" hidden="false" customHeight="false" outlineLevel="0" collapsed="false">
      <c r="A30" s="6" t="s">
        <v>8</v>
      </c>
      <c r="B30" s="6" t="s">
        <v>45</v>
      </c>
      <c r="C30" s="12" t="n">
        <v>1054</v>
      </c>
      <c r="D30" s="12" t="n">
        <v>232</v>
      </c>
      <c r="E30" s="8" t="n">
        <f aca="false">IFERROR(D30/C30,"")</f>
        <v>0.22011385199241</v>
      </c>
    </row>
    <row r="31" customFormat="false" ht="15" hidden="false" customHeight="false" outlineLevel="0" collapsed="false">
      <c r="A31" s="6" t="s">
        <v>8</v>
      </c>
      <c r="B31" s="6" t="s">
        <v>41</v>
      </c>
      <c r="C31" s="12" t="n">
        <v>1038</v>
      </c>
      <c r="D31" s="12" t="n">
        <v>302</v>
      </c>
      <c r="E31" s="8" t="n">
        <f aca="false">IFERROR(D31/C31,"")</f>
        <v>0.290944123314066</v>
      </c>
    </row>
    <row r="32" customFormat="false" ht="15" hidden="false" customHeight="false" outlineLevel="0" collapsed="false">
      <c r="A32" s="6" t="s">
        <v>8</v>
      </c>
      <c r="B32" s="6" t="s">
        <v>47</v>
      </c>
      <c r="C32" s="12" t="n">
        <v>221</v>
      </c>
      <c r="D32" s="12" t="n">
        <v>63</v>
      </c>
      <c r="E32" s="8" t="n">
        <f aca="false">IFERROR(D32/C32,"")</f>
        <v>0.285067873303167</v>
      </c>
    </row>
    <row r="33" customFormat="false" ht="15" hidden="false" customHeight="false" outlineLevel="0" collapsed="false">
      <c r="A33" s="6" t="s">
        <v>8</v>
      </c>
      <c r="B33" s="6" t="s">
        <v>48</v>
      </c>
      <c r="C33" s="12" t="n">
        <v>70</v>
      </c>
      <c r="D33" s="12" t="n">
        <v>29</v>
      </c>
      <c r="E33" s="8" t="n">
        <f aca="false">IFERROR(D33/C33,"")</f>
        <v>0.414285714285714</v>
      </c>
    </row>
    <row r="34" customFormat="false" ht="15" hidden="false" customHeight="false" outlineLevel="0" collapsed="false">
      <c r="A34" s="6" t="s">
        <v>8</v>
      </c>
      <c r="B34" s="6" t="s">
        <v>49</v>
      </c>
      <c r="C34" s="12" t="n">
        <v>37</v>
      </c>
      <c r="D34" s="12" t="n">
        <v>5</v>
      </c>
      <c r="E34" s="8" t="n">
        <f aca="false">IFERROR(D34/C34,"")</f>
        <v>0.135135135135135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3"/>
    <col collapsed="false" customWidth="true" hidden="false" outlineLevel="0" max="8" min="8" style="0" width="16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50</v>
      </c>
    </row>
    <row r="2" customFormat="false" ht="42" hidden="false" customHeight="true" outlineLevel="0" collapsed="false">
      <c r="A2" s="2" t="s">
        <v>51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16" t="s">
        <v>52</v>
      </c>
      <c r="B3" s="17" t="n">
        <v>100</v>
      </c>
    </row>
    <row r="5" customFormat="false" ht="31.5" hidden="false" customHeight="true" outlineLevel="0" collapsed="false">
      <c r="A5" s="5" t="s">
        <v>34</v>
      </c>
      <c r="B5" s="5" t="s">
        <v>53</v>
      </c>
      <c r="C5" s="5" t="s">
        <v>54</v>
      </c>
      <c r="D5" s="5" t="s">
        <v>55</v>
      </c>
      <c r="E5" s="5" t="s">
        <v>56</v>
      </c>
      <c r="F5" s="5" t="s">
        <v>57</v>
      </c>
      <c r="G5" s="5" t="s">
        <v>58</v>
      </c>
      <c r="H5" s="5" t="s">
        <v>59</v>
      </c>
      <c r="I5" s="5" t="s">
        <v>60</v>
      </c>
    </row>
    <row r="6" customFormat="false" ht="15" hidden="false" customHeight="false" outlineLevel="0" collapsed="false">
      <c r="A6" s="18" t="s">
        <v>40</v>
      </c>
      <c r="B6" s="7" t="n">
        <f aca="false">SUMIFS('By issue and group'!$C$5:$C$34,'By issue and group'!$A$5:$A$34,"Bureau",'By issue and group'!$B$5:$B$34,$A6)</f>
        <v>120</v>
      </c>
      <c r="C6" s="8" t="n">
        <f aca="false">IFERROR(SUMIFS('By issue and group'!$D$5:$D$34,'By issue and group'!$A$5:$A$34,"Bureau",'By issue and group'!$B$5:$B$34,$A6)/B6,"")</f>
        <v>0.458333333333333</v>
      </c>
      <c r="D6" s="7" t="n">
        <f aca="false">SUMIFS('By issue and group'!$C$5:$C$34,'By issue and group'!$A$5:$A$34,"Card issuer",'By issue and group'!$B$5:$B$34,$A6)</f>
        <v>19110</v>
      </c>
      <c r="E6" s="8" t="n">
        <f aca="false">IFERROR(SUMIFS('By issue and group'!$D$5:$D$34,'By issue and group'!$A$5:$A$34,"Card issuer",'By issue and group'!$B$5:$B$34,$A6)/D6,"")</f>
        <v>0.395552066980638</v>
      </c>
      <c r="F6" s="7" t="n">
        <f aca="false">B6+D6</f>
        <v>19230</v>
      </c>
      <c r="G6" s="8" t="n">
        <f aca="false">IFERROR((SUMIFS('By issue and group'!$D$5:$D$34,'By issue and group'!$A$5:$A$34,"Bureau",'By issue and group'!$B$5:$B$34,$A6)+SUMIFS('By issue and group'!$D$5:$D$34,'By issue and group'!$A$5:$A$34,"Card issuer",'By issue and group'!$B$5:$B$34,$A6))/F6,"")</f>
        <v>0.39594383775351</v>
      </c>
      <c r="H6" s="19" t="n">
        <f aca="false">IFERROR((C6-E6)*100,"")</f>
        <v>6.27812663526949</v>
      </c>
      <c r="I6" s="6" t="str">
        <f aca="false">IF(OR(B6&lt;$B$3,D6&lt;$B$3),"Low count","")</f>
        <v/>
      </c>
    </row>
    <row r="7" customFormat="false" ht="15" hidden="false" customHeight="false" outlineLevel="0" collapsed="false">
      <c r="A7" s="18" t="s">
        <v>36</v>
      </c>
      <c r="B7" s="7" t="n">
        <f aca="false">SUMIFS('By issue and group'!$C$5:$C$34,'By issue and group'!$A$5:$A$34,"Bureau",'By issue and group'!$B$5:$B$34,$A7)</f>
        <v>10887</v>
      </c>
      <c r="C7" s="8" t="n">
        <f aca="false">IFERROR(SUMIFS('By issue and group'!$D$5:$D$34,'By issue and group'!$A$5:$A$34,"Bureau",'By issue and group'!$B$5:$B$34,$A7)/B7,"")</f>
        <v>0.566363552861211</v>
      </c>
      <c r="D7" s="7" t="n">
        <f aca="false">SUMIFS('By issue and group'!$C$5:$C$34,'By issue and group'!$A$5:$A$34,"Card issuer",'By issue and group'!$B$5:$B$34,$A7)</f>
        <v>3453</v>
      </c>
      <c r="E7" s="8" t="n">
        <f aca="false">IFERROR(SUMIFS('By issue and group'!$D$5:$D$34,'By issue and group'!$A$5:$A$34,"Card issuer",'By issue and group'!$B$5:$B$34,$A7)/D7,"")</f>
        <v>0.243845931074428</v>
      </c>
      <c r="F7" s="7" t="n">
        <f aca="false">B7+D7</f>
        <v>14340</v>
      </c>
      <c r="G7" s="8" t="n">
        <f aca="false">IFERROR((SUMIFS('By issue and group'!$D$5:$D$34,'By issue and group'!$A$5:$A$34,"Bureau",'By issue and group'!$B$5:$B$34,$A7)+SUMIFS('By issue and group'!$D$5:$D$34,'By issue and group'!$A$5:$A$34,"Card issuer",'By issue and group'!$B$5:$B$34,$A7))/F7,"")</f>
        <v>0.488702928870293</v>
      </c>
      <c r="H7" s="19" t="n">
        <f aca="false">IFERROR((C7-E7)*100,"")</f>
        <v>32.2517621786783</v>
      </c>
      <c r="I7" s="6" t="str">
        <f aca="false">IF(OR(B7&lt;$B$3,D7&lt;$B$3),"Low count","")</f>
        <v/>
      </c>
    </row>
    <row r="8" customFormat="false" ht="15" hidden="false" customHeight="false" outlineLevel="0" collapsed="false">
      <c r="A8" s="18" t="s">
        <v>35</v>
      </c>
      <c r="B8" s="7" t="n">
        <f aca="false">SUMIFS('By issue and group'!$C$5:$C$34,'By issue and group'!$A$5:$A$34,"Bureau",'By issue and group'!$B$5:$B$34,$A8)</f>
        <v>12724</v>
      </c>
      <c r="C8" s="8" t="n">
        <f aca="false">IFERROR(SUMIFS('By issue and group'!$D$5:$D$34,'By issue and group'!$A$5:$A$34,"Bureau",'By issue and group'!$B$5:$B$34,$A8)/B8,"")</f>
        <v>0.55603583778686</v>
      </c>
      <c r="D8" s="7" t="n">
        <f aca="false">SUMIFS('By issue and group'!$C$5:$C$34,'By issue and group'!$A$5:$A$34,"Card issuer",'By issue and group'!$B$5:$B$34,$A8)</f>
        <v>1268</v>
      </c>
      <c r="E8" s="8" t="n">
        <f aca="false">IFERROR(SUMIFS('By issue and group'!$D$5:$D$34,'By issue and group'!$A$5:$A$34,"Card issuer",'By issue and group'!$B$5:$B$34,$A8)/D8,"")</f>
        <v>0.251577287066246</v>
      </c>
      <c r="F8" s="7" t="n">
        <f aca="false">B8+D8</f>
        <v>13992</v>
      </c>
      <c r="G8" s="8" t="n">
        <f aca="false">IFERROR((SUMIFS('By issue and group'!$D$5:$D$34,'By issue and group'!$A$5:$A$34,"Bureau",'By issue and group'!$B$5:$B$34,$A8)+SUMIFS('By issue and group'!$D$5:$D$34,'By issue and group'!$A$5:$A$34,"Card issuer",'By issue and group'!$B$5:$B$34,$A8))/F8,"")</f>
        <v>0.528444825614637</v>
      </c>
      <c r="H8" s="19" t="n">
        <f aca="false">IFERROR((C8-E8)*100,"")</f>
        <v>30.4458550720613</v>
      </c>
      <c r="I8" s="6" t="str">
        <f aca="false">IF(OR(B8&lt;$B$3,D8&lt;$B$3),"Low count","")</f>
        <v/>
      </c>
    </row>
    <row r="9" customFormat="false" ht="15" hidden="false" customHeight="false" outlineLevel="0" collapsed="false">
      <c r="A9" s="18" t="s">
        <v>37</v>
      </c>
      <c r="B9" s="7" t="n">
        <f aca="false">SUMIFS('By issue and group'!$C$5:$C$34,'By issue and group'!$A$5:$A$34,"Bureau",'By issue and group'!$B$5:$B$34,$A9)</f>
        <v>2104</v>
      </c>
      <c r="C9" s="8" t="n">
        <f aca="false">IFERROR(SUMIFS('By issue and group'!$D$5:$D$34,'By issue and group'!$A$5:$A$34,"Bureau",'By issue and group'!$B$5:$B$34,$A9)/B9,"")</f>
        <v>0.554182509505704</v>
      </c>
      <c r="D9" s="7" t="n">
        <f aca="false">SUMIFS('By issue and group'!$C$5:$C$34,'By issue and group'!$A$5:$A$34,"Card issuer",'By issue and group'!$B$5:$B$34,$A9)</f>
        <v>10724</v>
      </c>
      <c r="E9" s="8" t="n">
        <f aca="false">IFERROR(SUMIFS('By issue and group'!$D$5:$D$34,'By issue and group'!$A$5:$A$34,"Card issuer",'By issue and group'!$B$5:$B$34,$A9)/D9,"")</f>
        <v>0.311264453562104</v>
      </c>
      <c r="F9" s="7" t="n">
        <f aca="false">B9+D9</f>
        <v>12828</v>
      </c>
      <c r="G9" s="8" t="n">
        <f aca="false">IFERROR((SUMIFS('By issue and group'!$D$5:$D$34,'By issue and group'!$A$5:$A$34,"Bureau",'By issue and group'!$B$5:$B$34,$A9)+SUMIFS('By issue and group'!$D$5:$D$34,'By issue and group'!$A$5:$A$34,"Card issuer",'By issue and group'!$B$5:$B$34,$A9))/F9,"")</f>
        <v>0.351106953539133</v>
      </c>
      <c r="H9" s="19" t="n">
        <f aca="false">IFERROR((C9-E9)*100,"")</f>
        <v>24.29180559436</v>
      </c>
      <c r="I9" s="6" t="str">
        <f aca="false">IF(OR(B9&lt;$B$3,D9&lt;$B$3),"Low count","")</f>
        <v/>
      </c>
    </row>
    <row r="10" customFormat="false" ht="15" hidden="false" customHeight="false" outlineLevel="0" collapsed="false">
      <c r="A10" s="18" t="s">
        <v>38</v>
      </c>
      <c r="B10" s="7" t="n">
        <f aca="false">SUMIFS('By issue and group'!$C$5:$C$34,'By issue and group'!$A$5:$A$34,"Bureau",'By issue and group'!$B$5:$B$34,$A10)</f>
        <v>493</v>
      </c>
      <c r="C10" s="8" t="n">
        <f aca="false">IFERROR(SUMIFS('By issue and group'!$D$5:$D$34,'By issue and group'!$A$5:$A$34,"Bureau",'By issue and group'!$B$5:$B$34,$A10)/B10,"")</f>
        <v>0.551724137931035</v>
      </c>
      <c r="D10" s="7" t="n">
        <f aca="false">SUMIFS('By issue and group'!$C$5:$C$34,'By issue and group'!$A$5:$A$34,"Card issuer",'By issue and group'!$B$5:$B$34,$A10)</f>
        <v>9010</v>
      </c>
      <c r="E10" s="8" t="n">
        <f aca="false">IFERROR(SUMIFS('By issue and group'!$D$5:$D$34,'By issue and group'!$A$5:$A$34,"Card issuer",'By issue and group'!$B$5:$B$34,$A10)/D10,"")</f>
        <v>0.297336293007769</v>
      </c>
      <c r="F10" s="7" t="n">
        <f aca="false">B10+D10</f>
        <v>9503</v>
      </c>
      <c r="G10" s="8" t="n">
        <f aca="false">IFERROR((SUMIFS('By issue and group'!$D$5:$D$34,'By issue and group'!$A$5:$A$34,"Bureau",'By issue and group'!$B$5:$B$34,$A10)+SUMIFS('By issue and group'!$D$5:$D$34,'By issue and group'!$A$5:$A$34,"Card issuer",'By issue and group'!$B$5:$B$34,$A10))/F10,"")</f>
        <v>0.310533515731874</v>
      </c>
      <c r="H10" s="19" t="n">
        <f aca="false">IFERROR((C10-E10)*100,"")</f>
        <v>25.4387844923265</v>
      </c>
      <c r="I10" s="6" t="str">
        <f aca="false">IF(OR(B10&lt;$B$3,D10&lt;$B$3),"Low count","")</f>
        <v/>
      </c>
    </row>
    <row r="11" customFormat="false" ht="15" hidden="false" customHeight="false" outlineLevel="0" collapsed="false">
      <c r="A11" s="18" t="s">
        <v>44</v>
      </c>
      <c r="B11" s="7" t="n">
        <f aca="false">SUMIFS('By issue and group'!$C$5:$C$34,'By issue and group'!$A$5:$A$34,"Bureau",'By issue and group'!$B$5:$B$34,$A11)</f>
        <v>44</v>
      </c>
      <c r="C11" s="8" t="n">
        <f aca="false">IFERROR(SUMIFS('By issue and group'!$D$5:$D$34,'By issue and group'!$A$5:$A$34,"Bureau",'By issue and group'!$B$5:$B$34,$A11)/B11,"")</f>
        <v>0.409090909090909</v>
      </c>
      <c r="D11" s="7" t="n">
        <f aca="false">SUMIFS('By issue and group'!$C$5:$C$34,'By issue and group'!$A$5:$A$34,"Card issuer",'By issue and group'!$B$5:$B$34,$A11)</f>
        <v>7926</v>
      </c>
      <c r="E11" s="8" t="n">
        <f aca="false">IFERROR(SUMIFS('By issue and group'!$D$5:$D$34,'By issue and group'!$A$5:$A$34,"Card issuer",'By issue and group'!$B$5:$B$34,$A11)/D11,"")</f>
        <v>0.412944738834217</v>
      </c>
      <c r="F11" s="7" t="n">
        <f aca="false">B11+D11</f>
        <v>7970</v>
      </c>
      <c r="G11" s="8" t="n">
        <f aca="false">IFERROR((SUMIFS('By issue and group'!$D$5:$D$34,'By issue and group'!$A$5:$A$34,"Bureau",'By issue and group'!$B$5:$B$34,$A11)+SUMIFS('By issue and group'!$D$5:$D$34,'By issue and group'!$A$5:$A$34,"Card issuer",'By issue and group'!$B$5:$B$34,$A11))/F11,"")</f>
        <v>0.412923462986198</v>
      </c>
      <c r="H11" s="19" t="n">
        <f aca="false">IFERROR((C11-E11)*100,"")</f>
        <v>-0.385382974330739</v>
      </c>
      <c r="I11" s="6" t="str">
        <f aca="false">IF(OR(B11&lt;$B$3,D11&lt;$B$3),"Low count","")</f>
        <v>Low count</v>
      </c>
    </row>
    <row r="12" customFormat="false" ht="15" hidden="false" customHeight="false" outlineLevel="0" collapsed="false">
      <c r="A12" s="18" t="s">
        <v>42</v>
      </c>
      <c r="B12" s="7" t="n">
        <f aca="false">SUMIFS('By issue and group'!$C$5:$C$34,'By issue and group'!$A$5:$A$34,"Bureau",'By issue and group'!$B$5:$B$34,$A12)</f>
        <v>98</v>
      </c>
      <c r="C12" s="8" t="n">
        <f aca="false">IFERROR(SUMIFS('By issue and group'!$D$5:$D$34,'By issue and group'!$A$5:$A$34,"Bureau",'By issue and group'!$B$5:$B$34,$A12)/B12,"")</f>
        <v>0.489795918367347</v>
      </c>
      <c r="D12" s="7" t="n">
        <f aca="false">SUMIFS('By issue and group'!$C$5:$C$34,'By issue and group'!$A$5:$A$34,"Card issuer",'By issue and group'!$B$5:$B$34,$A12)</f>
        <v>5372</v>
      </c>
      <c r="E12" s="8" t="n">
        <f aca="false">IFERROR(SUMIFS('By issue and group'!$D$5:$D$34,'By issue and group'!$A$5:$A$34,"Card issuer",'By issue and group'!$B$5:$B$34,$A12)/D12,"")</f>
        <v>0.212025316455696</v>
      </c>
      <c r="F12" s="7" t="n">
        <f aca="false">B12+D12</f>
        <v>5470</v>
      </c>
      <c r="G12" s="8" t="n">
        <f aca="false">IFERROR((SUMIFS('By issue and group'!$D$5:$D$34,'By issue and group'!$A$5:$A$34,"Bureau",'By issue and group'!$B$5:$B$34,$A12)+SUMIFS('By issue and group'!$D$5:$D$34,'By issue and group'!$A$5:$A$34,"Card issuer",'By issue and group'!$B$5:$B$34,$A12))/F12,"")</f>
        <v>0.217001828153565</v>
      </c>
      <c r="H12" s="19" t="n">
        <f aca="false">IFERROR((C12-E12)*100,"")</f>
        <v>27.7770601911651</v>
      </c>
      <c r="I12" s="6" t="str">
        <f aca="false">IF(OR(B12&lt;$B$3,D12&lt;$B$3),"Low count","")</f>
        <v>Low count</v>
      </c>
    </row>
    <row r="13" customFormat="false" ht="15" hidden="false" customHeight="false" outlineLevel="0" collapsed="false">
      <c r="A13" s="18" t="s">
        <v>43</v>
      </c>
      <c r="B13" s="7" t="n">
        <f aca="false">SUMIFS('By issue and group'!$C$5:$C$34,'By issue and group'!$A$5:$A$34,"Bureau",'By issue and group'!$B$5:$B$34,$A13)</f>
        <v>61</v>
      </c>
      <c r="C13" s="8" t="n">
        <f aca="false">IFERROR(SUMIFS('By issue and group'!$D$5:$D$34,'By issue and group'!$A$5:$A$34,"Bureau",'By issue and group'!$B$5:$B$34,$A13)/B13,"")</f>
        <v>0.508196721311475</v>
      </c>
      <c r="D13" s="7" t="n">
        <f aca="false">SUMIFS('By issue and group'!$C$5:$C$34,'By issue and group'!$A$5:$A$34,"Card issuer",'By issue and group'!$B$5:$B$34,$A13)</f>
        <v>5349</v>
      </c>
      <c r="E13" s="8" t="n">
        <f aca="false">IFERROR(SUMIFS('By issue and group'!$D$5:$D$34,'By issue and group'!$A$5:$A$34,"Card issuer",'By issue and group'!$B$5:$B$34,$A13)/D13,"")</f>
        <v>0.310899233501589</v>
      </c>
      <c r="F13" s="7" t="n">
        <f aca="false">B13+D13</f>
        <v>5410</v>
      </c>
      <c r="G13" s="8" t="n">
        <f aca="false">IFERROR((SUMIFS('By issue and group'!$D$5:$D$34,'By issue and group'!$A$5:$A$34,"Bureau",'By issue and group'!$B$5:$B$34,$A13)+SUMIFS('By issue and group'!$D$5:$D$34,'By issue and group'!$A$5:$A$34,"Card issuer",'By issue and group'!$B$5:$B$34,$A13))/F13,"")</f>
        <v>0.313123844731978</v>
      </c>
      <c r="H13" s="19" t="n">
        <f aca="false">IFERROR((C13-E13)*100,"")</f>
        <v>19.7297487809886</v>
      </c>
      <c r="I13" s="6" t="str">
        <f aca="false">IF(OR(B13&lt;$B$3,D13&lt;$B$3),"Low count","")</f>
        <v>Low count</v>
      </c>
    </row>
    <row r="14" customFormat="false" ht="15" hidden="false" customHeight="false" outlineLevel="0" collapsed="false">
      <c r="A14" s="18" t="s">
        <v>39</v>
      </c>
      <c r="B14" s="7" t="n">
        <f aca="false">SUMIFS('By issue and group'!$C$5:$C$34,'By issue and group'!$A$5:$A$34,"Bureau",'By issue and group'!$B$5:$B$34,$A14)</f>
        <v>417</v>
      </c>
      <c r="C14" s="8" t="n">
        <f aca="false">IFERROR(SUMIFS('By issue and group'!$D$5:$D$34,'By issue and group'!$A$5:$A$34,"Bureau",'By issue and group'!$B$5:$B$34,$A14)/B14,"")</f>
        <v>0.635491606714628</v>
      </c>
      <c r="D14" s="7" t="n">
        <f aca="false">SUMIFS('By issue and group'!$C$5:$C$34,'By issue and group'!$A$5:$A$34,"Card issuer",'By issue and group'!$B$5:$B$34,$A14)</f>
        <v>3101</v>
      </c>
      <c r="E14" s="8" t="n">
        <f aca="false">IFERROR(SUMIFS('By issue and group'!$D$5:$D$34,'By issue and group'!$A$5:$A$34,"Card issuer",'By issue and group'!$B$5:$B$34,$A14)/D14,"")</f>
        <v>0.274105127378265</v>
      </c>
      <c r="F14" s="7" t="n">
        <f aca="false">B14+D14</f>
        <v>3518</v>
      </c>
      <c r="G14" s="8" t="n">
        <f aca="false">IFERROR((SUMIFS('By issue and group'!$D$5:$D$34,'By issue and group'!$A$5:$A$34,"Bureau",'By issue and group'!$B$5:$B$34,$A14)+SUMIFS('By issue and group'!$D$5:$D$34,'By issue and group'!$A$5:$A$34,"Card issuer",'By issue and group'!$B$5:$B$34,$A14))/F14,"")</f>
        <v>0.316941444002274</v>
      </c>
      <c r="H14" s="19" t="n">
        <f aca="false">IFERROR((C14-E14)*100,"")</f>
        <v>36.1386479336363</v>
      </c>
      <c r="I14" s="6" t="str">
        <f aca="false">IF(OR(B14&lt;$B$3,D14&lt;$B$3),"Low count","")</f>
        <v/>
      </c>
    </row>
    <row r="15" customFormat="false" ht="15" hidden="false" customHeight="false" outlineLevel="0" collapsed="false">
      <c r="A15" s="18" t="s">
        <v>46</v>
      </c>
      <c r="B15" s="7" t="n">
        <f aca="false">SUMIFS('By issue and group'!$C$5:$C$34,'By issue and group'!$A$5:$A$34,"Bureau",'By issue and group'!$B$5:$B$34,$A15)</f>
        <v>12</v>
      </c>
      <c r="C15" s="8" t="n">
        <f aca="false">IFERROR(SUMIFS('By issue and group'!$D$5:$D$34,'By issue and group'!$A$5:$A$34,"Bureau",'By issue and group'!$B$5:$B$34,$A15)/B15,"")</f>
        <v>0.0833333333333333</v>
      </c>
      <c r="D15" s="7" t="n">
        <f aca="false">SUMIFS('By issue and group'!$C$5:$C$34,'By issue and group'!$A$5:$A$34,"Card issuer",'By issue and group'!$B$5:$B$34,$A15)</f>
        <v>2989</v>
      </c>
      <c r="E15" s="8" t="n">
        <f aca="false">IFERROR(SUMIFS('By issue and group'!$D$5:$D$34,'By issue and group'!$A$5:$A$34,"Card issuer",'By issue and group'!$B$5:$B$34,$A15)/D15,"")</f>
        <v>0.178989628638341</v>
      </c>
      <c r="F15" s="7" t="n">
        <f aca="false">B15+D15</f>
        <v>3001</v>
      </c>
      <c r="G15" s="8" t="n">
        <f aca="false">IFERROR((SUMIFS('By issue and group'!$D$5:$D$34,'By issue and group'!$A$5:$A$34,"Bureau",'By issue and group'!$B$5:$B$34,$A15)+SUMIFS('By issue and group'!$D$5:$D$34,'By issue and group'!$A$5:$A$34,"Card issuer",'By issue and group'!$B$5:$B$34,$A15))/F15,"")</f>
        <v>0.178607130956348</v>
      </c>
      <c r="H15" s="19" t="n">
        <f aca="false">IFERROR((C15-E15)*100,"")</f>
        <v>-9.56562953050073</v>
      </c>
      <c r="I15" s="6" t="str">
        <f aca="false">IF(OR(B15&lt;$B$3,D15&lt;$B$3),"Low count","")</f>
        <v>Low count</v>
      </c>
    </row>
    <row r="16" customFormat="false" ht="15" hidden="false" customHeight="false" outlineLevel="0" collapsed="false">
      <c r="A16" s="18" t="s">
        <v>41</v>
      </c>
      <c r="B16" s="7" t="n">
        <f aca="false">SUMIFS('By issue and group'!$C$5:$C$34,'By issue and group'!$A$5:$A$34,"Bureau",'By issue and group'!$B$5:$B$34,$A16)</f>
        <v>113</v>
      </c>
      <c r="C16" s="8" t="n">
        <f aca="false">IFERROR(SUMIFS('By issue and group'!$D$5:$D$34,'By issue and group'!$A$5:$A$34,"Bureau",'By issue and group'!$B$5:$B$34,$A16)/B16,"")</f>
        <v>0.460176991150442</v>
      </c>
      <c r="D16" s="7" t="n">
        <f aca="false">SUMIFS('By issue and group'!$C$5:$C$34,'By issue and group'!$A$5:$A$34,"Card issuer",'By issue and group'!$B$5:$B$34,$A16)</f>
        <v>1038</v>
      </c>
      <c r="E16" s="8" t="n">
        <f aca="false">IFERROR(SUMIFS('By issue and group'!$D$5:$D$34,'By issue and group'!$A$5:$A$34,"Card issuer",'By issue and group'!$B$5:$B$34,$A16)/D16,"")</f>
        <v>0.290944123314066</v>
      </c>
      <c r="F16" s="7" t="n">
        <f aca="false">B16+D16</f>
        <v>1151</v>
      </c>
      <c r="G16" s="8" t="n">
        <f aca="false">IFERROR((SUMIFS('By issue and group'!$D$5:$D$34,'By issue and group'!$A$5:$A$34,"Bureau",'By issue and group'!$B$5:$B$34,$A16)+SUMIFS('By issue and group'!$D$5:$D$34,'By issue and group'!$A$5:$A$34,"Card issuer",'By issue and group'!$B$5:$B$34,$A16))/F16,"")</f>
        <v>0.30755864465682</v>
      </c>
      <c r="H16" s="19" t="n">
        <f aca="false">IFERROR((C16-E16)*100,"")</f>
        <v>16.9232867836377</v>
      </c>
      <c r="I16" s="6" t="str">
        <f aca="false">IF(OR(B16&lt;$B$3,D16&lt;$B$3),"Low count","")</f>
        <v/>
      </c>
    </row>
    <row r="17" customFormat="false" ht="15" hidden="false" customHeight="false" outlineLevel="0" collapsed="false">
      <c r="A17" s="18" t="s">
        <v>45</v>
      </c>
      <c r="B17" s="7" t="n">
        <f aca="false">SUMIFS('By issue and group'!$C$5:$C$34,'By issue and group'!$A$5:$A$34,"Bureau",'By issue and group'!$B$5:$B$34,$A17)</f>
        <v>15</v>
      </c>
      <c r="C17" s="8" t="n">
        <f aca="false">IFERROR(SUMIFS('By issue and group'!$D$5:$D$34,'By issue and group'!$A$5:$A$34,"Bureau",'By issue and group'!$B$5:$B$34,$A17)/B17,"")</f>
        <v>0.266666666666667</v>
      </c>
      <c r="D17" s="7" t="n">
        <f aca="false">SUMIFS('By issue and group'!$C$5:$C$34,'By issue and group'!$A$5:$A$34,"Card issuer",'By issue and group'!$B$5:$B$34,$A17)</f>
        <v>1054</v>
      </c>
      <c r="E17" s="8" t="n">
        <f aca="false">IFERROR(SUMIFS('By issue and group'!$D$5:$D$34,'By issue and group'!$A$5:$A$34,"Card issuer",'By issue and group'!$B$5:$B$34,$A17)/D17,"")</f>
        <v>0.22011385199241</v>
      </c>
      <c r="F17" s="7" t="n">
        <f aca="false">B17+D17</f>
        <v>1069</v>
      </c>
      <c r="G17" s="8" t="n">
        <f aca="false">IFERROR((SUMIFS('By issue and group'!$D$5:$D$34,'By issue and group'!$A$5:$A$34,"Bureau",'By issue and group'!$B$5:$B$34,$A17)+SUMIFS('By issue and group'!$D$5:$D$34,'By issue and group'!$A$5:$A$34,"Card issuer",'By issue and group'!$B$5:$B$34,$A17))/F17,"")</f>
        <v>0.220767072029935</v>
      </c>
      <c r="H17" s="19" t="n">
        <f aca="false">IFERROR((C17-E17)*100,"")</f>
        <v>4.65528146742568</v>
      </c>
      <c r="I17" s="6" t="str">
        <f aca="false">IF(OR(B17&lt;$B$3,D17&lt;$B$3),"Low count","")</f>
        <v>Low count</v>
      </c>
    </row>
    <row r="18" customFormat="false" ht="15" hidden="false" customHeight="false" outlineLevel="0" collapsed="false">
      <c r="A18" s="18" t="s">
        <v>47</v>
      </c>
      <c r="B18" s="7" t="n">
        <f aca="false">SUMIFS('By issue and group'!$C$5:$C$34,'By issue and group'!$A$5:$A$34,"Bureau",'By issue and group'!$B$5:$B$34,$A18)</f>
        <v>11</v>
      </c>
      <c r="C18" s="8" t="n">
        <f aca="false">IFERROR(SUMIFS('By issue and group'!$D$5:$D$34,'By issue and group'!$A$5:$A$34,"Bureau",'By issue and group'!$B$5:$B$34,$A18)/B18,"")</f>
        <v>0.545454545454545</v>
      </c>
      <c r="D18" s="7" t="n">
        <f aca="false">SUMIFS('By issue and group'!$C$5:$C$34,'By issue and group'!$A$5:$A$34,"Card issuer",'By issue and group'!$B$5:$B$34,$A18)</f>
        <v>221</v>
      </c>
      <c r="E18" s="8" t="n">
        <f aca="false">IFERROR(SUMIFS('By issue and group'!$D$5:$D$34,'By issue and group'!$A$5:$A$34,"Card issuer",'By issue and group'!$B$5:$B$34,$A18)/D18,"")</f>
        <v>0.285067873303167</v>
      </c>
      <c r="F18" s="7" t="n">
        <f aca="false">B18+D18</f>
        <v>232</v>
      </c>
      <c r="G18" s="8" t="n">
        <f aca="false">IFERROR((SUMIFS('By issue and group'!$D$5:$D$34,'By issue and group'!$A$5:$A$34,"Bureau",'By issue and group'!$B$5:$B$34,$A18)+SUMIFS('By issue and group'!$D$5:$D$34,'By issue and group'!$A$5:$A$34,"Card issuer",'By issue and group'!$B$5:$B$34,$A18))/F18,"")</f>
        <v>0.297413793103448</v>
      </c>
      <c r="H18" s="19" t="n">
        <f aca="false">IFERROR((C18-E18)*100,"")</f>
        <v>26.0386672151378</v>
      </c>
      <c r="I18" s="6" t="str">
        <f aca="false">IF(OR(B18&lt;$B$3,D18&lt;$B$3),"Low count","")</f>
        <v>Low count</v>
      </c>
    </row>
    <row r="19" customFormat="false" ht="15" hidden="false" customHeight="false" outlineLevel="0" collapsed="false">
      <c r="A19" s="18" t="s">
        <v>48</v>
      </c>
      <c r="B19" s="7" t="n">
        <f aca="false">SUMIFS('By issue and group'!$C$5:$C$34,'By issue and group'!$A$5:$A$34,"Bureau",'By issue and group'!$B$5:$B$34,$A19)</f>
        <v>7</v>
      </c>
      <c r="C19" s="8" t="n">
        <f aca="false">IFERROR(SUMIFS('By issue and group'!$D$5:$D$34,'By issue and group'!$A$5:$A$34,"Bureau",'By issue and group'!$B$5:$B$34,$A19)/B19,"")</f>
        <v>0.285714285714286</v>
      </c>
      <c r="D19" s="7" t="n">
        <f aca="false">SUMIFS('By issue and group'!$C$5:$C$34,'By issue and group'!$A$5:$A$34,"Card issuer",'By issue and group'!$B$5:$B$34,$A19)</f>
        <v>70</v>
      </c>
      <c r="E19" s="8" t="n">
        <f aca="false">IFERROR(SUMIFS('By issue and group'!$D$5:$D$34,'By issue and group'!$A$5:$A$34,"Card issuer",'By issue and group'!$B$5:$B$34,$A19)/D19,"")</f>
        <v>0.414285714285714</v>
      </c>
      <c r="F19" s="7" t="n">
        <f aca="false">B19+D19</f>
        <v>77</v>
      </c>
      <c r="G19" s="8" t="n">
        <f aca="false">IFERROR((SUMIFS('By issue and group'!$D$5:$D$34,'By issue and group'!$A$5:$A$34,"Bureau",'By issue and group'!$B$5:$B$34,$A19)+SUMIFS('By issue and group'!$D$5:$D$34,'By issue and group'!$A$5:$A$34,"Card issuer",'By issue and group'!$B$5:$B$34,$A19))/F19,"")</f>
        <v>0.402597402597403</v>
      </c>
      <c r="H19" s="19" t="n">
        <f aca="false">IFERROR((C19-E19)*100,"")</f>
        <v>-12.8571428571429</v>
      </c>
      <c r="I19" s="6" t="str">
        <f aca="false">IF(OR(B19&lt;$B$3,D19&lt;$B$3),"Low count","")</f>
        <v>Low count</v>
      </c>
    </row>
    <row r="20" customFormat="false" ht="15" hidden="false" customHeight="false" outlineLevel="0" collapsed="false">
      <c r="A20" s="18" t="s">
        <v>49</v>
      </c>
      <c r="B20" s="7" t="n">
        <f aca="false">SUMIFS('By issue and group'!$C$5:$C$34,'By issue and group'!$A$5:$A$34,"Bureau",'By issue and group'!$B$5:$B$34,$A20)</f>
        <v>4</v>
      </c>
      <c r="C20" s="8" t="n">
        <f aca="false">IFERROR(SUMIFS('By issue and group'!$D$5:$D$34,'By issue and group'!$A$5:$A$34,"Bureau",'By issue and group'!$B$5:$B$34,$A20)/B20,"")</f>
        <v>0.25</v>
      </c>
      <c r="D20" s="7" t="n">
        <f aca="false">SUMIFS('By issue and group'!$C$5:$C$34,'By issue and group'!$A$5:$A$34,"Card issuer",'By issue and group'!$B$5:$B$34,$A20)</f>
        <v>37</v>
      </c>
      <c r="E20" s="8" t="n">
        <f aca="false">IFERROR(SUMIFS('By issue and group'!$D$5:$D$34,'By issue and group'!$A$5:$A$34,"Card issuer",'By issue and group'!$B$5:$B$34,$A20)/D20,"")</f>
        <v>0.135135135135135</v>
      </c>
      <c r="F20" s="7" t="n">
        <f aca="false">B20+D20</f>
        <v>41</v>
      </c>
      <c r="G20" s="8" t="n">
        <f aca="false">IFERROR((SUMIFS('By issue and group'!$D$5:$D$34,'By issue and group'!$A$5:$A$34,"Bureau",'By issue and group'!$B$5:$B$34,$A20)+SUMIFS('By issue and group'!$D$5:$D$34,'By issue and group'!$A$5:$A$34,"Card issuer",'By issue and group'!$B$5:$B$34,$A20))/F20,"")</f>
        <v>0.146341463414634</v>
      </c>
      <c r="H20" s="19" t="n">
        <f aca="false">IFERROR((C20-E20)*100,"")</f>
        <v>11.4864864864865</v>
      </c>
      <c r="I20" s="6" t="str">
        <f aca="false">IF(OR(B20&lt;$B$3,D20&lt;$B$3),"Low count","")</f>
        <v>Low count</v>
      </c>
    </row>
    <row r="22" customFormat="false" ht="15" hidden="false" customHeight="false" outlineLevel="0" collapsed="false">
      <c r="A22" s="20" t="s">
        <v>61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7" min="6" style="0" width="13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62</v>
      </c>
    </row>
    <row r="2" customFormat="false" ht="42" hidden="false" customHeight="true" outlineLevel="0" collapsed="false">
      <c r="A2" s="2" t="s">
        <v>63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6" t="s">
        <v>64</v>
      </c>
      <c r="B3" s="21" t="n">
        <v>0.05</v>
      </c>
    </row>
    <row r="4" customFormat="false" ht="15" hidden="false" customHeight="false" outlineLevel="0" collapsed="false">
      <c r="A4" s="16" t="s">
        <v>65</v>
      </c>
      <c r="B4" s="8" t="n">
        <f aca="false">Summary!D7</f>
        <v>0.322784989112299</v>
      </c>
    </row>
    <row r="5" customFormat="false" ht="15" hidden="false" customHeight="false" outlineLevel="0" collapsed="false">
      <c r="A5" s="16" t="s">
        <v>66</v>
      </c>
      <c r="B5" s="7" t="n">
        <f aca="false">Summary!B7</f>
        <v>70722</v>
      </c>
    </row>
    <row r="7" customFormat="false" ht="31.5" hidden="false" customHeight="true" outlineLevel="0" collapsed="false">
      <c r="A7" s="5" t="s">
        <v>34</v>
      </c>
      <c r="B7" s="5" t="s">
        <v>12</v>
      </c>
      <c r="C7" s="5" t="s">
        <v>67</v>
      </c>
      <c r="D7" s="5" t="s">
        <v>6</v>
      </c>
      <c r="E7" s="5" t="s">
        <v>68</v>
      </c>
      <c r="F7" s="5" t="s">
        <v>69</v>
      </c>
      <c r="G7" s="5" t="s">
        <v>70</v>
      </c>
      <c r="H7" s="5" t="s">
        <v>71</v>
      </c>
    </row>
    <row r="8" customFormat="false" ht="15" hidden="false" customHeight="false" outlineLevel="0" collapsed="false">
      <c r="A8" s="18" t="s">
        <v>40</v>
      </c>
      <c r="B8" s="7" t="n">
        <f aca="false">SUMIFS('By issue and group'!$C$5:$C$34,'By issue and group'!$A$5:$A$34,"Card issuer",'By issue and group'!$B$5:$B$34,$A8)</f>
        <v>19110</v>
      </c>
      <c r="C8" s="8" t="n">
        <f aca="false">IFERROR(B8/$B$5,"")</f>
        <v>0.270212946466446</v>
      </c>
      <c r="D8" s="8" t="n">
        <f aca="false">IFERROR(SUMIFS('By issue and group'!$D$5:$D$34,'By issue and group'!$A$5:$A$34,"Card issuer",'By issue and group'!$B$5:$B$34,$A8)/B8,"")</f>
        <v>0.395552066980638</v>
      </c>
      <c r="E8" s="19" t="n">
        <f aca="false">IFERROR((D8-$B$4)*100,"")</f>
        <v>7.27670778683395</v>
      </c>
      <c r="F8" s="22" t="str">
        <f aca="false">IF(C8&gt;=$B$3,"Yes","No")</f>
        <v>Yes</v>
      </c>
      <c r="G8" s="22" t="str">
        <f aca="false">IF(D8&lt;$B$4,"Yes","No")</f>
        <v>No</v>
      </c>
      <c r="H8" s="22" t="str">
        <f aca="false">IF(AND(F8="Yes",G8="Yes"),"Priority","")</f>
        <v/>
      </c>
    </row>
    <row r="9" customFormat="false" ht="15" hidden="false" customHeight="false" outlineLevel="0" collapsed="false">
      <c r="A9" s="18" t="s">
        <v>37</v>
      </c>
      <c r="B9" s="7" t="n">
        <f aca="false">SUMIFS('By issue and group'!$C$5:$C$34,'By issue and group'!$A$5:$A$34,"Card issuer",'By issue and group'!$B$5:$B$34,$A9)</f>
        <v>10724</v>
      </c>
      <c r="C9" s="8" t="n">
        <f aca="false">IFERROR(B9/$B$5,"")</f>
        <v>0.151635983145273</v>
      </c>
      <c r="D9" s="8" t="n">
        <f aca="false">IFERROR(SUMIFS('By issue and group'!$D$5:$D$34,'By issue and group'!$A$5:$A$34,"Card issuer",'By issue and group'!$B$5:$B$34,$A9)/B9,"")</f>
        <v>0.311264453562104</v>
      </c>
      <c r="E9" s="19" t="n">
        <f aca="false">IFERROR((D9-$B$4)*100,"")</f>
        <v>-1.15205355501952</v>
      </c>
      <c r="F9" s="22" t="str">
        <f aca="false">IF(C9&gt;=$B$3,"Yes","No")</f>
        <v>Yes</v>
      </c>
      <c r="G9" s="22" t="str">
        <f aca="false">IF(D9&lt;$B$4,"Yes","No")</f>
        <v>Yes</v>
      </c>
      <c r="H9" s="22" t="str">
        <f aca="false">IF(AND(F9="Yes",G9="Yes"),"Priority","")</f>
        <v>Priority</v>
      </c>
    </row>
    <row r="10" customFormat="false" ht="15" hidden="false" customHeight="false" outlineLevel="0" collapsed="false">
      <c r="A10" s="18" t="s">
        <v>38</v>
      </c>
      <c r="B10" s="7" t="n">
        <f aca="false">SUMIFS('By issue and group'!$C$5:$C$34,'By issue and group'!$A$5:$A$34,"Card issuer",'By issue and group'!$B$5:$B$34,$A10)</f>
        <v>9010</v>
      </c>
      <c r="C10" s="8" t="n">
        <f aca="false">IFERROR(B10/$B$5,"")</f>
        <v>0.127400243205792</v>
      </c>
      <c r="D10" s="8" t="n">
        <f aca="false">IFERROR(SUMIFS('By issue and group'!$D$5:$D$34,'By issue and group'!$A$5:$A$34,"Card issuer",'By issue and group'!$B$5:$B$34,$A10)/B10,"")</f>
        <v>0.297336293007769</v>
      </c>
      <c r="E10" s="19" t="n">
        <f aca="false">IFERROR((D10-$B$4)*100,"")</f>
        <v>-2.54486961045297</v>
      </c>
      <c r="F10" s="22" t="str">
        <f aca="false">IF(C10&gt;=$B$3,"Yes","No")</f>
        <v>Yes</v>
      </c>
      <c r="G10" s="22" t="str">
        <f aca="false">IF(D10&lt;$B$4,"Yes","No")</f>
        <v>Yes</v>
      </c>
      <c r="H10" s="22" t="str">
        <f aca="false">IF(AND(F10="Yes",G10="Yes"),"Priority","")</f>
        <v>Priority</v>
      </c>
    </row>
    <row r="11" customFormat="false" ht="15" hidden="false" customHeight="false" outlineLevel="0" collapsed="false">
      <c r="A11" s="18" t="s">
        <v>44</v>
      </c>
      <c r="B11" s="7" t="n">
        <f aca="false">SUMIFS('By issue and group'!$C$5:$C$34,'By issue and group'!$A$5:$A$34,"Card issuer",'By issue and group'!$B$5:$B$34,$A11)</f>
        <v>7926</v>
      </c>
      <c r="C11" s="8" t="n">
        <f aca="false">IFERROR(B11/$B$5,"")</f>
        <v>0.112072622380589</v>
      </c>
      <c r="D11" s="8" t="n">
        <f aca="false">IFERROR(SUMIFS('By issue and group'!$D$5:$D$34,'By issue and group'!$A$5:$A$34,"Card issuer",'By issue and group'!$B$5:$B$34,$A11)/B11,"")</f>
        <v>0.412944738834217</v>
      </c>
      <c r="E11" s="19" t="n">
        <f aca="false">IFERROR((D11-$B$4)*100,"")</f>
        <v>9.01597497219177</v>
      </c>
      <c r="F11" s="22" t="str">
        <f aca="false">IF(C11&gt;=$B$3,"Yes","No")</f>
        <v>Yes</v>
      </c>
      <c r="G11" s="22" t="str">
        <f aca="false">IF(D11&lt;$B$4,"Yes","No")</f>
        <v>No</v>
      </c>
      <c r="H11" s="22" t="str">
        <f aca="false">IF(AND(F11="Yes",G11="Yes"),"Priority","")</f>
        <v/>
      </c>
    </row>
    <row r="12" customFormat="false" ht="15" hidden="false" customHeight="false" outlineLevel="0" collapsed="false">
      <c r="A12" s="18" t="s">
        <v>42</v>
      </c>
      <c r="B12" s="7" t="n">
        <f aca="false">SUMIFS('By issue and group'!$C$5:$C$34,'By issue and group'!$A$5:$A$34,"Card issuer",'By issue and group'!$B$5:$B$34,$A12)</f>
        <v>5372</v>
      </c>
      <c r="C12" s="8" t="n">
        <f aca="false">IFERROR(B12/$B$5,"")</f>
        <v>0.0759593902887362</v>
      </c>
      <c r="D12" s="8" t="n">
        <f aca="false">IFERROR(SUMIFS('By issue and group'!$D$5:$D$34,'By issue and group'!$A$5:$A$34,"Card issuer",'By issue and group'!$B$5:$B$34,$A12)/B12,"")</f>
        <v>0.212025316455696</v>
      </c>
      <c r="E12" s="19" t="n">
        <f aca="false">IFERROR((D12-$B$4)*100,"")</f>
        <v>-11.0759672656603</v>
      </c>
      <c r="F12" s="22" t="str">
        <f aca="false">IF(C12&gt;=$B$3,"Yes","No")</f>
        <v>Yes</v>
      </c>
      <c r="G12" s="22" t="str">
        <f aca="false">IF(D12&lt;$B$4,"Yes","No")</f>
        <v>Yes</v>
      </c>
      <c r="H12" s="22" t="str">
        <f aca="false">IF(AND(F12="Yes",G12="Yes"),"Priority","")</f>
        <v>Priority</v>
      </c>
    </row>
    <row r="13" customFormat="false" ht="15" hidden="false" customHeight="false" outlineLevel="0" collapsed="false">
      <c r="A13" s="18" t="s">
        <v>43</v>
      </c>
      <c r="B13" s="7" t="n">
        <f aca="false">SUMIFS('By issue and group'!$C$5:$C$34,'By issue and group'!$A$5:$A$34,"Card issuer",'By issue and group'!$B$5:$B$34,$A13)</f>
        <v>5349</v>
      </c>
      <c r="C13" s="8" t="n">
        <f aca="false">IFERROR(B13/$B$5,"")</f>
        <v>0.075634173241707</v>
      </c>
      <c r="D13" s="8" t="n">
        <f aca="false">IFERROR(SUMIFS('By issue and group'!$D$5:$D$34,'By issue and group'!$A$5:$A$34,"Card issuer",'By issue and group'!$B$5:$B$34,$A13)/B13,"")</f>
        <v>0.310899233501589</v>
      </c>
      <c r="E13" s="19" t="n">
        <f aca="false">IFERROR((D13-$B$4)*100,"")</f>
        <v>-1.18857556107098</v>
      </c>
      <c r="F13" s="22" t="str">
        <f aca="false">IF(C13&gt;=$B$3,"Yes","No")</f>
        <v>Yes</v>
      </c>
      <c r="G13" s="22" t="str">
        <f aca="false">IF(D13&lt;$B$4,"Yes","No")</f>
        <v>Yes</v>
      </c>
      <c r="H13" s="22" t="str">
        <f aca="false">IF(AND(F13="Yes",G13="Yes"),"Priority","")</f>
        <v>Priority</v>
      </c>
    </row>
    <row r="14" customFormat="false" ht="15" hidden="false" customHeight="false" outlineLevel="0" collapsed="false">
      <c r="A14" s="18" t="s">
        <v>36</v>
      </c>
      <c r="B14" s="7" t="n">
        <f aca="false">SUMIFS('By issue and group'!$C$5:$C$34,'By issue and group'!$A$5:$A$34,"Card issuer",'By issue and group'!$B$5:$B$34,$A14)</f>
        <v>3453</v>
      </c>
      <c r="C14" s="8" t="n">
        <f aca="false">IFERROR(B14/$B$5,"")</f>
        <v>0.0488249766692118</v>
      </c>
      <c r="D14" s="8" t="n">
        <f aca="false">IFERROR(SUMIFS('By issue and group'!$D$5:$D$34,'By issue and group'!$A$5:$A$34,"Card issuer",'By issue and group'!$B$5:$B$34,$A14)/B14,"")</f>
        <v>0.243845931074428</v>
      </c>
      <c r="E14" s="19" t="n">
        <f aca="false">IFERROR((D14-$B$4)*100,"")</f>
        <v>-7.89390580378708</v>
      </c>
      <c r="F14" s="22" t="str">
        <f aca="false">IF(C14&gt;=$B$3,"Yes","No")</f>
        <v>No</v>
      </c>
      <c r="G14" s="22" t="str">
        <f aca="false">IF(D14&lt;$B$4,"Yes","No")</f>
        <v>Yes</v>
      </c>
      <c r="H14" s="22" t="str">
        <f aca="false">IF(AND(F14="Yes",G14="Yes"),"Priority","")</f>
        <v/>
      </c>
    </row>
    <row r="15" customFormat="false" ht="15" hidden="false" customHeight="false" outlineLevel="0" collapsed="false">
      <c r="A15" s="18" t="s">
        <v>39</v>
      </c>
      <c r="B15" s="7" t="n">
        <f aca="false">SUMIFS('By issue and group'!$C$5:$C$34,'By issue and group'!$A$5:$A$34,"Card issuer",'By issue and group'!$B$5:$B$34,$A15)</f>
        <v>3101</v>
      </c>
      <c r="C15" s="8" t="n">
        <f aca="false">IFERROR(B15/$B$5,"")</f>
        <v>0.0438477418625039</v>
      </c>
      <c r="D15" s="8" t="n">
        <f aca="false">IFERROR(SUMIFS('By issue and group'!$D$5:$D$34,'By issue and group'!$A$5:$A$34,"Card issuer",'By issue and group'!$B$5:$B$34,$A15)/B15,"")</f>
        <v>0.274105127378265</v>
      </c>
      <c r="E15" s="19" t="n">
        <f aca="false">IFERROR((D15-$B$4)*100,"")</f>
        <v>-4.86798617340338</v>
      </c>
      <c r="F15" s="22" t="str">
        <f aca="false">IF(C15&gt;=$B$3,"Yes","No")</f>
        <v>No</v>
      </c>
      <c r="G15" s="22" t="str">
        <f aca="false">IF(D15&lt;$B$4,"Yes","No")</f>
        <v>Yes</v>
      </c>
      <c r="H15" s="22" t="str">
        <f aca="false">IF(AND(F15="Yes",G15="Yes"),"Priority","")</f>
        <v/>
      </c>
    </row>
    <row r="16" customFormat="false" ht="15" hidden="false" customHeight="false" outlineLevel="0" collapsed="false">
      <c r="A16" s="18" t="s">
        <v>46</v>
      </c>
      <c r="B16" s="7" t="n">
        <f aca="false">SUMIFS('By issue and group'!$C$5:$C$34,'By issue and group'!$A$5:$A$34,"Card issuer",'By issue and group'!$B$5:$B$34,$A16)</f>
        <v>2989</v>
      </c>
      <c r="C16" s="8" t="n">
        <f aca="false">IFERROR(B16/$B$5,"")</f>
        <v>0.0422640762421877</v>
      </c>
      <c r="D16" s="8" t="n">
        <f aca="false">IFERROR(SUMIFS('By issue and group'!$D$5:$D$34,'By issue and group'!$A$5:$A$34,"Card issuer",'By issue and group'!$B$5:$B$34,$A16)/B16,"")</f>
        <v>0.178989628638341</v>
      </c>
      <c r="E16" s="19" t="n">
        <f aca="false">IFERROR((D16-$B$4)*100,"")</f>
        <v>-14.3795360473958</v>
      </c>
      <c r="F16" s="22" t="str">
        <f aca="false">IF(C16&gt;=$B$3,"Yes","No")</f>
        <v>No</v>
      </c>
      <c r="G16" s="22" t="str">
        <f aca="false">IF(D16&lt;$B$4,"Yes","No")</f>
        <v>Yes</v>
      </c>
      <c r="H16" s="22" t="str">
        <f aca="false">IF(AND(F16="Yes",G16="Yes"),"Priority","")</f>
        <v/>
      </c>
    </row>
    <row r="17" customFormat="false" ht="15" hidden="false" customHeight="false" outlineLevel="0" collapsed="false">
      <c r="A17" s="18" t="s">
        <v>35</v>
      </c>
      <c r="B17" s="7" t="n">
        <f aca="false">SUMIFS('By issue and group'!$C$5:$C$34,'By issue and group'!$A$5:$A$34,"Card issuer",'By issue and group'!$B$5:$B$34,$A17)</f>
        <v>1268</v>
      </c>
      <c r="C17" s="8" t="n">
        <f aca="false">IFERROR(B17/$B$5,"")</f>
        <v>0.0179293572014366</v>
      </c>
      <c r="D17" s="8" t="n">
        <f aca="false">IFERROR(SUMIFS('By issue and group'!$D$5:$D$34,'By issue and group'!$A$5:$A$34,"Card issuer",'By issue and group'!$B$5:$B$34,$A17)/B17,"")</f>
        <v>0.251577287066246</v>
      </c>
      <c r="E17" s="19" t="n">
        <f aca="false">IFERROR((D17-$B$4)*100,"")</f>
        <v>-7.12077020460528</v>
      </c>
      <c r="F17" s="22" t="str">
        <f aca="false">IF(C17&gt;=$B$3,"Yes","No")</f>
        <v>No</v>
      </c>
      <c r="G17" s="22" t="str">
        <f aca="false">IF(D17&lt;$B$4,"Yes","No")</f>
        <v>Yes</v>
      </c>
      <c r="H17" s="22" t="str">
        <f aca="false">IF(AND(F17="Yes",G17="Yes"),"Priority","")</f>
        <v/>
      </c>
    </row>
    <row r="18" customFormat="false" ht="15" hidden="false" customHeight="false" outlineLevel="0" collapsed="false">
      <c r="A18" s="18" t="s">
        <v>45</v>
      </c>
      <c r="B18" s="7" t="n">
        <f aca="false">SUMIFS('By issue and group'!$C$5:$C$34,'By issue and group'!$A$5:$A$34,"Card issuer",'By issue and group'!$B$5:$B$34,$A18)</f>
        <v>1054</v>
      </c>
      <c r="C18" s="8" t="n">
        <f aca="false">IFERROR(B18/$B$5,"")</f>
        <v>0.0149034246769039</v>
      </c>
      <c r="D18" s="8" t="n">
        <f aca="false">IFERROR(SUMIFS('By issue and group'!$D$5:$D$34,'By issue and group'!$A$5:$A$34,"Card issuer",'By issue and group'!$B$5:$B$34,$A18)/B18,"")</f>
        <v>0.22011385199241</v>
      </c>
      <c r="E18" s="19" t="n">
        <f aca="false">IFERROR((D18-$B$4)*100,"")</f>
        <v>-10.2671137119889</v>
      </c>
      <c r="F18" s="22" t="str">
        <f aca="false">IF(C18&gt;=$B$3,"Yes","No")</f>
        <v>No</v>
      </c>
      <c r="G18" s="22" t="str">
        <f aca="false">IF(D18&lt;$B$4,"Yes","No")</f>
        <v>Yes</v>
      </c>
      <c r="H18" s="22" t="str">
        <f aca="false">IF(AND(F18="Yes",G18="Yes"),"Priority","")</f>
        <v/>
      </c>
    </row>
    <row r="19" customFormat="false" ht="15" hidden="false" customHeight="false" outlineLevel="0" collapsed="false">
      <c r="A19" s="18" t="s">
        <v>41</v>
      </c>
      <c r="B19" s="7" t="n">
        <f aca="false">SUMIFS('By issue and group'!$C$5:$C$34,'By issue and group'!$A$5:$A$34,"Card issuer",'By issue and group'!$B$5:$B$34,$A19)</f>
        <v>1038</v>
      </c>
      <c r="C19" s="8" t="n">
        <f aca="false">IFERROR(B19/$B$5,"")</f>
        <v>0.0146771867311445</v>
      </c>
      <c r="D19" s="8" t="n">
        <f aca="false">IFERROR(SUMIFS('By issue and group'!$D$5:$D$34,'By issue and group'!$A$5:$A$34,"Card issuer",'By issue and group'!$B$5:$B$34,$A19)/B19,"")</f>
        <v>0.290944123314066</v>
      </c>
      <c r="E19" s="19" t="n">
        <f aca="false">IFERROR((D19-$B$4)*100,"")</f>
        <v>-3.18408657982334</v>
      </c>
      <c r="F19" s="22" t="str">
        <f aca="false">IF(C19&gt;=$B$3,"Yes","No")</f>
        <v>No</v>
      </c>
      <c r="G19" s="22" t="str">
        <f aca="false">IF(D19&lt;$B$4,"Yes","No")</f>
        <v>Yes</v>
      </c>
      <c r="H19" s="22" t="str">
        <f aca="false">IF(AND(F19="Yes",G19="Yes"),"Priority","")</f>
        <v/>
      </c>
    </row>
    <row r="20" customFormat="false" ht="15" hidden="false" customHeight="false" outlineLevel="0" collapsed="false">
      <c r="A20" s="18" t="s">
        <v>47</v>
      </c>
      <c r="B20" s="7" t="n">
        <f aca="false">SUMIFS('By issue and group'!$C$5:$C$34,'By issue and group'!$A$5:$A$34,"Card issuer",'By issue and group'!$B$5:$B$34,$A20)</f>
        <v>221</v>
      </c>
      <c r="C20" s="8" t="n">
        <f aca="false">IFERROR(B20/$B$5,"")</f>
        <v>0.00312491162580244</v>
      </c>
      <c r="D20" s="8" t="n">
        <f aca="false">IFERROR(SUMIFS('By issue and group'!$D$5:$D$34,'By issue and group'!$A$5:$A$34,"Card issuer",'By issue and group'!$B$5:$B$34,$A20)/B20,"")</f>
        <v>0.285067873303167</v>
      </c>
      <c r="E20" s="19" t="n">
        <f aca="false">IFERROR((D20-$B$4)*100,"")</f>
        <v>-3.77171158091315</v>
      </c>
      <c r="F20" s="22" t="str">
        <f aca="false">IF(C20&gt;=$B$3,"Yes","No")</f>
        <v>No</v>
      </c>
      <c r="G20" s="22" t="str">
        <f aca="false">IF(D20&lt;$B$4,"Yes","No")</f>
        <v>Yes</v>
      </c>
      <c r="H20" s="22" t="str">
        <f aca="false">IF(AND(F20="Yes",G20="Yes"),"Priority","")</f>
        <v/>
      </c>
    </row>
    <row r="21" customFormat="false" ht="15" hidden="false" customHeight="false" outlineLevel="0" collapsed="false">
      <c r="A21" s="18" t="s">
        <v>48</v>
      </c>
      <c r="B21" s="7" t="n">
        <f aca="false">SUMIFS('By issue and group'!$C$5:$C$34,'By issue and group'!$A$5:$A$34,"Card issuer",'By issue and group'!$B$5:$B$34,$A21)</f>
        <v>70</v>
      </c>
      <c r="C21" s="8" t="n">
        <f aca="false">IFERROR(B21/$B$5,"")</f>
        <v>0.000989791012697605</v>
      </c>
      <c r="D21" s="8" t="n">
        <f aca="false">IFERROR(SUMIFS('By issue and group'!$D$5:$D$34,'By issue and group'!$A$5:$A$34,"Card issuer",'By issue and group'!$B$5:$B$34,$A21)/B21,"")</f>
        <v>0.414285714285714</v>
      </c>
      <c r="E21" s="19" t="n">
        <f aca="false">IFERROR((D21-$B$4)*100,"")</f>
        <v>9.15007251734155</v>
      </c>
      <c r="F21" s="22" t="str">
        <f aca="false">IF(C21&gt;=$B$3,"Yes","No")</f>
        <v>No</v>
      </c>
      <c r="G21" s="22" t="str">
        <f aca="false">IF(D21&lt;$B$4,"Yes","No")</f>
        <v>No</v>
      </c>
      <c r="H21" s="22" t="str">
        <f aca="false">IF(AND(F21="Yes",G21="Yes"),"Priority","")</f>
        <v/>
      </c>
    </row>
    <row r="22" customFormat="false" ht="15" hidden="false" customHeight="false" outlineLevel="0" collapsed="false">
      <c r="A22" s="18" t="s">
        <v>49</v>
      </c>
      <c r="B22" s="7" t="n">
        <f aca="false">SUMIFS('By issue and group'!$C$5:$C$34,'By issue and group'!$A$5:$A$34,"Card issuer",'By issue and group'!$B$5:$B$34,$A22)</f>
        <v>37</v>
      </c>
      <c r="C22" s="8" t="n">
        <f aca="false">IFERROR(B22/$B$5,"")</f>
        <v>0.000523175249568734</v>
      </c>
      <c r="D22" s="8" t="n">
        <f aca="false">IFERROR(SUMIFS('By issue and group'!$D$5:$D$34,'By issue and group'!$A$5:$A$34,"Card issuer",'By issue and group'!$B$5:$B$34,$A22)/B22,"")</f>
        <v>0.135135135135135</v>
      </c>
      <c r="E22" s="19" t="n">
        <f aca="false">IFERROR((D22-$B$4)*100,"")</f>
        <v>-18.7649853977164</v>
      </c>
      <c r="F22" s="22" t="str">
        <f aca="false">IF(C22&gt;=$B$3,"Yes","No")</f>
        <v>No</v>
      </c>
      <c r="G22" s="22" t="str">
        <f aca="false">IF(D22&lt;$B$4,"Yes","No")</f>
        <v>Yes</v>
      </c>
      <c r="H22" s="22" t="str">
        <f aca="false">IF(AND(F22="Yes",G22="Yes"),"Priority","")</f>
        <v/>
      </c>
    </row>
  </sheetData>
  <mergeCells count="1">
    <mergeCell ref="A2:H2"/>
  </mergeCells>
  <conditionalFormatting sqref="A8:H22">
    <cfRule type="expression" priority="2" aboveAverage="0" equalAverage="0" bottom="0" percent="0" rank="0" text="" dxfId="0">
      <formula>$H8="Priority"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66"/>
    <col collapsed="false" customWidth="true" hidden="false" outlineLevel="0" max="4" min="4" style="0" width="56"/>
  </cols>
  <sheetData>
    <row r="1" customFormat="false" ht="17.35" hidden="false" customHeight="false" outlineLevel="0" collapsed="false">
      <c r="A1" s="1" t="s">
        <v>72</v>
      </c>
    </row>
    <row r="2" customFormat="false" ht="42" hidden="false" customHeight="true" outlineLevel="0" collapsed="false">
      <c r="A2" s="2" t="s">
        <v>73</v>
      </c>
      <c r="B2" s="2"/>
      <c r="C2" s="2"/>
      <c r="D2" s="2"/>
    </row>
    <row r="4" customFormat="false" ht="31.5" hidden="false" customHeight="true" outlineLevel="0" collapsed="false">
      <c r="A4" s="5" t="s">
        <v>74</v>
      </c>
      <c r="B4" s="5" t="s">
        <v>75</v>
      </c>
      <c r="C4" s="5" t="s">
        <v>76</v>
      </c>
      <c r="D4" s="5" t="s">
        <v>77</v>
      </c>
    </row>
    <row r="5" customFormat="false" ht="46.5" hidden="false" customHeight="true" outlineLevel="0" collapsed="false">
      <c r="A5" s="23" t="n">
        <v>1</v>
      </c>
      <c r="B5" s="24" t="s">
        <v>78</v>
      </c>
      <c r="C5" s="23" t="s">
        <v>79</v>
      </c>
      <c r="D5" s="23" t="s">
        <v>80</v>
      </c>
    </row>
    <row r="6" customFormat="false" ht="33" hidden="false" customHeight="true" outlineLevel="0" collapsed="false">
      <c r="A6" s="23" t="n">
        <v>2</v>
      </c>
      <c r="B6" s="24" t="s">
        <v>81</v>
      </c>
      <c r="C6" s="23" t="s">
        <v>82</v>
      </c>
      <c r="D6" s="23" t="s">
        <v>83</v>
      </c>
    </row>
    <row r="7" customFormat="false" ht="33" hidden="false" customHeight="true" outlineLevel="0" collapsed="false">
      <c r="A7" s="23" t="n">
        <v>3</v>
      </c>
      <c r="B7" s="24" t="s">
        <v>84</v>
      </c>
      <c r="C7" s="23" t="s">
        <v>85</v>
      </c>
      <c r="D7" s="23" t="s">
        <v>86</v>
      </c>
    </row>
    <row r="8" customFormat="false" ht="46.5" hidden="false" customHeight="true" outlineLevel="0" collapsed="false">
      <c r="A8" s="23" t="n">
        <v>4</v>
      </c>
      <c r="B8" s="24" t="s">
        <v>21</v>
      </c>
      <c r="C8" s="23" t="s">
        <v>87</v>
      </c>
      <c r="D8" s="23" t="s">
        <v>88</v>
      </c>
    </row>
    <row r="9" customFormat="false" ht="33" hidden="false" customHeight="true" outlineLevel="0" collapsed="false">
      <c r="A9" s="23" t="n">
        <v>5</v>
      </c>
      <c r="B9" s="24" t="s">
        <v>89</v>
      </c>
      <c r="C9" s="23" t="s">
        <v>90</v>
      </c>
      <c r="D9" s="23" t="s">
        <v>91</v>
      </c>
    </row>
    <row r="10" customFormat="false" ht="46.5" hidden="false" customHeight="true" outlineLevel="0" collapsed="false">
      <c r="A10" s="23" t="n">
        <v>6</v>
      </c>
      <c r="B10" s="24" t="s">
        <v>92</v>
      </c>
      <c r="C10" s="23" t="s">
        <v>93</v>
      </c>
      <c r="D10" s="23" t="s">
        <v>94</v>
      </c>
    </row>
    <row r="11" customFormat="false" ht="46.5" hidden="false" customHeight="true" outlineLevel="0" collapsed="false">
      <c r="A11" s="23" t="n">
        <v>7</v>
      </c>
      <c r="B11" s="24" t="s">
        <v>95</v>
      </c>
      <c r="C11" s="23" t="s">
        <v>96</v>
      </c>
      <c r="D11" s="23" t="s">
        <v>97</v>
      </c>
    </row>
    <row r="12" customFormat="false" ht="33" hidden="false" customHeight="true" outlineLevel="0" collapsed="false">
      <c r="A12" s="23" t="n">
        <v>8</v>
      </c>
      <c r="B12" s="24" t="s">
        <v>98</v>
      </c>
      <c r="C12" s="23" t="s">
        <v>99</v>
      </c>
      <c r="D12" s="23" t="s">
        <v>100</v>
      </c>
    </row>
    <row r="13" customFormat="false" ht="33" hidden="false" customHeight="true" outlineLevel="0" collapsed="false">
      <c r="A13" s="23" t="n">
        <v>9</v>
      </c>
      <c r="B13" s="24" t="s">
        <v>101</v>
      </c>
      <c r="C13" s="23" t="s">
        <v>102</v>
      </c>
      <c r="D13" s="23" t="s">
        <v>103</v>
      </c>
    </row>
    <row r="14" customFormat="false" ht="33" hidden="false" customHeight="true" outlineLevel="0" collapsed="false">
      <c r="A14" s="23" t="n">
        <v>10</v>
      </c>
      <c r="B14" s="24" t="s">
        <v>104</v>
      </c>
      <c r="C14" s="23" t="s">
        <v>105</v>
      </c>
      <c r="D14" s="23" t="s">
        <v>106</v>
      </c>
    </row>
    <row r="15" customFormat="false" ht="73.5" hidden="false" customHeight="true" outlineLevel="0" collapsed="false">
      <c r="A15" s="23" t="n">
        <v>11</v>
      </c>
      <c r="B15" s="24" t="s">
        <v>107</v>
      </c>
      <c r="C15" s="23" t="s">
        <v>108</v>
      </c>
      <c r="D15" s="23" t="s">
        <v>109</v>
      </c>
    </row>
    <row r="16" customFormat="false" ht="60" hidden="false" customHeight="true" outlineLevel="0" collapsed="false">
      <c r="A16" s="23" t="n">
        <v>12</v>
      </c>
      <c r="B16" s="24" t="s">
        <v>110</v>
      </c>
      <c r="C16" s="23" t="s">
        <v>111</v>
      </c>
      <c r="D16" s="23" t="s">
        <v>112</v>
      </c>
    </row>
    <row r="17" customFormat="false" ht="60" hidden="false" customHeight="true" outlineLevel="0" collapsed="false">
      <c r="A17" s="23" t="n">
        <v>13</v>
      </c>
      <c r="B17" s="24" t="s">
        <v>113</v>
      </c>
      <c r="C17" s="23" t="s">
        <v>114</v>
      </c>
      <c r="D17" s="23" t="s">
        <v>115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2026-10-15T09:11:20Z</dcterms:created>
  <dc:creator>openpyxl</dc:creator>
  <dc:description/>
  <dc:language>en-US</dc:language>
  <cp:lastModifiedBy/>
  <dcterms:modified xsi:type="dcterms:W3CDTF">2026-10-15T09:11:20Z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